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s" sheetId="1" r:id="rId4"/>
    <sheet state="visible" name="Interface +A1" sheetId="2" r:id="rId5"/>
    <sheet state="visible" name="Calcul +A1" sheetId="3" r:id="rId6"/>
    <sheet state="visible" name="Art. 11" sheetId="4" r:id="rId7"/>
    <sheet state="visible" name="Interface +A2" sheetId="5" r:id="rId8"/>
    <sheet state="visible" name="Interface +A2 resultats" sheetId="6" r:id="rId9"/>
    <sheet state="visible" name="Calcul +A2" sheetId="7" r:id="rId10"/>
  </sheets>
  <definedNames/>
  <calcPr/>
  <extLst>
    <ext uri="GoogleSheetsCustomDataVersion2">
      <go:sheetsCustomData xmlns:go="http://customooxmlschemas.google.com/" r:id="rId11" roundtripDataChecksum="AX1D8f4k2UGSigzWM+DXaqEG71DNzzkkcBfHYTIL47U="/>
    </ext>
  </extLst>
</workbook>
</file>

<file path=xl/sharedStrings.xml><?xml version="1.0" encoding="utf-8"?>
<sst xmlns="http://schemas.openxmlformats.org/spreadsheetml/2006/main" count="265" uniqueCount="128">
  <si>
    <t>Calcul du bilan "dynamique" d'une FDES selon la RE2020</t>
  </si>
  <si>
    <t>V2</t>
  </si>
  <si>
    <t>ajout +A2 (et onglet résultat A2)</t>
  </si>
  <si>
    <t>V1</t>
  </si>
  <si>
    <t>Version initiale</t>
  </si>
  <si>
    <t>Licence publique générale GNU (GNU GPL), version 3</t>
  </si>
  <si>
    <t>par Guillaume Meunier</t>
  </si>
  <si>
    <r>
      <rPr>
        <rFont val="Wingdings"/>
        <color theme="1"/>
        <sz val="11.0"/>
      </rPr>
      <t>â</t>
    </r>
    <r>
      <rPr>
        <rFont val="Segoe UI"/>
        <color theme="1"/>
        <sz val="11.0"/>
      </rPr>
      <t xml:space="preserve"> </t>
    </r>
    <r>
      <rPr>
        <rFont val="Segoe UI"/>
        <color theme="1"/>
        <sz val="11.0"/>
      </rPr>
      <t xml:space="preserve">HOW-TO </t>
    </r>
    <r>
      <rPr>
        <rFont val="Wingdings"/>
        <color theme="1"/>
        <sz val="11.0"/>
      </rPr>
      <t>â</t>
    </r>
  </si>
  <si>
    <t>Etapes 1 :</t>
  </si>
  <si>
    <t>chercher sur INIES le produit</t>
  </si>
  <si>
    <t>https://www.inies.fr/</t>
  </si>
  <si>
    <t>Etape 2 :</t>
  </si>
  <si>
    <r>
      <rPr>
        <rFont val="Quattrocento Sans"/>
        <color theme="1"/>
        <sz val="11.0"/>
      </rPr>
      <t xml:space="preserve">Dans l'onglet "Unité fonctionnelle" trouver la </t>
    </r>
    <r>
      <rPr>
        <rFont val="Segoe UI"/>
        <b/>
        <color theme="1"/>
        <sz val="11.0"/>
        <u/>
      </rPr>
      <t>DVR</t>
    </r>
  </si>
  <si>
    <t>Etape 3a :</t>
  </si>
  <si>
    <t>voir dans l'onglet "Indicateurs" de quelle norme il s'agit ? (+A1 ou +A2)</t>
  </si>
  <si>
    <t>Etape 3b :</t>
  </si>
  <si>
    <t>Toujjours dans l'onglet "Indicateurs" COPIER-COLLER les valeurs du réchauffement climatique</t>
  </si>
  <si>
    <t>Etape 4 :</t>
  </si>
  <si>
    <t>coller le CTRL C dans la partie rose de l'onglet "Interface" ici</t>
  </si>
  <si>
    <t>Etape 5 (seulement si norme +A1) :</t>
  </si>
  <si>
    <t>Faire de même avec le Module D dans "Afficher les phases optionnelles sur INIES</t>
  </si>
  <si>
    <t>ID</t>
  </si>
  <si>
    <t>NOM</t>
  </si>
  <si>
    <t>lien INIES</t>
  </si>
  <si>
    <t>PANNEAU PANOBLOC® - 3 plis et fibre de bois (v.1.2)</t>
  </si>
  <si>
    <r>
      <rPr>
        <rFont val="Quattrocento Sans"/>
        <color theme="1"/>
        <sz val="11.0"/>
      </rPr>
      <t xml:space="preserve">Unité fonctionnelle </t>
    </r>
    <r>
      <rPr>
        <rFont val="Wingdings"/>
        <color theme="1"/>
        <sz val="11.0"/>
      </rPr>
      <t>è</t>
    </r>
  </si>
  <si>
    <t>Durée de vie de référence (DVR)</t>
  </si>
  <si>
    <t>ans</t>
  </si>
  <si>
    <r>
      <rPr>
        <rFont val="Quattrocento Sans"/>
        <color theme="1"/>
        <sz val="11.0"/>
      </rPr>
      <t xml:space="preserve">Indicateurs </t>
    </r>
    <r>
      <rPr>
        <rFont val="Wingdings"/>
        <color theme="1"/>
        <sz val="11.0"/>
      </rPr>
      <t>è</t>
    </r>
  </si>
  <si>
    <t>COPIER-COLLER DANS LE ROSE</t>
  </si>
  <si>
    <r>
      <rPr>
        <rFont val="Wingdings"/>
        <color theme="4"/>
        <sz val="11.0"/>
      </rPr>
      <t>â</t>
    </r>
    <r>
      <rPr>
        <rFont val="Segoe UI"/>
        <color theme="4"/>
        <sz val="9.0"/>
      </rPr>
      <t xml:space="preserve"> D est dans les phases optionnelles</t>
    </r>
  </si>
  <si>
    <t xml:space="preserve">Étape de production </t>
  </si>
  <si>
    <t xml:space="preserve">Étape du processus de construction </t>
  </si>
  <si>
    <t xml:space="preserve">Étape d’utilisation </t>
  </si>
  <si>
    <t xml:space="preserve">Étape de fin de vie </t>
  </si>
  <si>
    <t xml:space="preserve">Total cycle de vie </t>
  </si>
  <si>
    <t>D-Bénéfices et charges au-delà des frontières du système</t>
  </si>
  <si>
    <t xml:space="preserve">Réchauffement climatique (kg CO2 eq.) </t>
  </si>
  <si>
    <t>-3.18e+1</t>
  </si>
  <si>
    <t>2.22e+0</t>
  </si>
  <si>
    <t>0.00e+0</t>
  </si>
  <si>
    <t>3.33e+1</t>
  </si>
  <si>
    <t>3.72e+0</t>
  </si>
  <si>
    <t>-4.75e+0</t>
  </si>
  <si>
    <t>ATTENTION parfois l'arrondi de l'affichage du site web Inies est différent des valeurs de la FDES</t>
  </si>
  <si>
    <t>cherche point</t>
  </si>
  <si>
    <t>"." -&gt; ","</t>
  </si>
  <si>
    <t>Chiffres</t>
  </si>
  <si>
    <t>A1-A3</t>
  </si>
  <si>
    <t>A4-A5 Edifiation</t>
  </si>
  <si>
    <t>B1-B7 Exploitation</t>
  </si>
  <si>
    <t>C1-C4</t>
  </si>
  <si>
    <t>D</t>
  </si>
  <si>
    <r>
      <rPr>
        <rFont val="Quattrocento Sans"/>
        <b/>
        <color theme="1"/>
        <sz val="11.0"/>
      </rPr>
      <t xml:space="preserve">CHIFFRES (pour excel) </t>
    </r>
    <r>
      <rPr>
        <rFont val="Wingdings"/>
        <b/>
        <color theme="1"/>
        <sz val="11.0"/>
      </rPr>
      <t>è</t>
    </r>
  </si>
  <si>
    <t xml:space="preserve">Arrondir les valeurs à X décimales : </t>
  </si>
  <si>
    <t>t=0</t>
  </si>
  <si>
    <t>0&lt;t&lt;50</t>
  </si>
  <si>
    <t>t=50</t>
  </si>
  <si>
    <t>TOTAL</t>
  </si>
  <si>
    <t>Statique (E+C-, 1/3D)</t>
  </si>
  <si>
    <t>Dynamique (RE2020)</t>
  </si>
  <si>
    <t>ALPHA=</t>
  </si>
  <si>
    <t>Futil=</t>
  </si>
  <si>
    <t>PER =</t>
  </si>
  <si>
    <t>DVE=</t>
  </si>
  <si>
    <t>Année</t>
  </si>
  <si>
    <t>Coef dyn. Art. 11</t>
  </si>
  <si>
    <t>Statique</t>
  </si>
  <si>
    <t>Dynamique</t>
  </si>
  <si>
    <t>renouvellement ? (oui/non)</t>
  </si>
  <si>
    <t>relicat ? (1/Valeur)</t>
  </si>
  <si>
    <t>Mod D Renouv ?</t>
  </si>
  <si>
    <t>TOTAL + ModD</t>
  </si>
  <si>
    <t>Page 65</t>
  </si>
  <si>
    <t>Page 66</t>
  </si>
  <si>
    <t>Années</t>
  </si>
  <si>
    <t>Cas général, fCO2</t>
  </si>
  <si>
    <t>Arrêté du 4 août 2021 relatif aux exigences de performance énergétique</t>
  </si>
  <si>
    <t>NOR : LOGL2107359A</t>
  </si>
  <si>
    <t>Article 11.</t>
  </si>
  <si>
    <t>Les coefficients de pondération utilisés pour le calcul des indicateurs d’impact sur le changement</t>
  </si>
  <si>
    <t>Panneau CLT (lamellé-croisé), fabriqué en France par Mathis</t>
  </si>
  <si>
    <r>
      <rPr>
        <rFont val="Quattrocento Sans"/>
        <color theme="1"/>
        <sz val="11.0"/>
      </rPr>
      <t xml:space="preserve">Unité fonctionnelle </t>
    </r>
    <r>
      <rPr>
        <rFont val="Wingdings"/>
        <color theme="1"/>
        <sz val="11.0"/>
      </rPr>
      <t>è</t>
    </r>
  </si>
  <si>
    <t>Teneur en carbone biogénique du produit (stockC)</t>
  </si>
  <si>
    <t>kgC</t>
  </si>
  <si>
    <r>
      <rPr>
        <rFont val="Quattrocento Sans"/>
        <color theme="1"/>
        <sz val="11.0"/>
      </rPr>
      <t xml:space="preserve">Indicateurs </t>
    </r>
    <r>
      <rPr>
        <rFont val="Wingdings"/>
        <color theme="1"/>
        <sz val="11.0"/>
      </rPr>
      <t>è</t>
    </r>
  </si>
  <si>
    <t>SI +A2, COPIER-COLLER DANS LE ROSE</t>
  </si>
  <si>
    <t>Étape de production</t>
  </si>
  <si>
    <t>Étape du processus de construction</t>
  </si>
  <si>
    <t>B1-Utilisation</t>
  </si>
  <si>
    <t>B2-Maintenance</t>
  </si>
  <si>
    <t>B3-Réparation</t>
  </si>
  <si>
    <t>B4-Remplacement</t>
  </si>
  <si>
    <t>B5-Réhabilitation</t>
  </si>
  <si>
    <t>B6-Utilisation de l’énergie durant l’étape d’utilisation</t>
  </si>
  <si>
    <t>B7-Utilisation de l’eau durant l’étape d’utilisation</t>
  </si>
  <si>
    <t>Étape d’utilisation</t>
  </si>
  <si>
    <t>Étape de fin de vie</t>
  </si>
  <si>
    <t>Total cycle de vie</t>
  </si>
  <si>
    <t>-6.04e+2</t>
  </si>
  <si>
    <t>1.38e+1</t>
  </si>
  <si>
    <t>7.58e+2</t>
  </si>
  <si>
    <t>1.67e+2</t>
  </si>
  <si>
    <t>-2.33e+2</t>
  </si>
  <si>
    <r>
      <rPr>
        <rFont val="Quattrocento Sans"/>
        <b/>
        <color theme="1"/>
        <sz val="11.0"/>
      </rPr>
      <t xml:space="preserve">CHIFFRES (pour excel) </t>
    </r>
    <r>
      <rPr>
        <rFont val="Wingdings"/>
        <b/>
        <color theme="1"/>
        <sz val="11.0"/>
      </rPr>
      <t>è</t>
    </r>
  </si>
  <si>
    <r>
      <rPr>
        <rFont val="Calibri"/>
        <b/>
        <i/>
        <color rgb="FFFFC000"/>
        <sz val="9.0"/>
      </rPr>
      <t>↓</t>
    </r>
    <r>
      <rPr>
        <rFont val="Quattrocento Sans"/>
        <b/>
        <i/>
        <color rgb="FFFFC000"/>
        <sz val="9.0"/>
      </rPr>
      <t xml:space="preserve"> COPIER COLLER ICI LES 4 LIGNES</t>
    </r>
  </si>
  <si>
    <t>Changement climatique - total (kg CO2 eq.)</t>
  </si>
  <si>
    <t>Changement climatique - fossil (kg CO2 eq.)</t>
  </si>
  <si>
    <t>1.03e+2</t>
  </si>
  <si>
    <t>1.35e+1</t>
  </si>
  <si>
    <t>1.50e+2</t>
  </si>
  <si>
    <t>-2.25e+2</t>
  </si>
  <si>
    <t>Changement climatique - biogénique (kg CO2 eq.)</t>
  </si>
  <si>
    <t>-7.08e+2</t>
  </si>
  <si>
    <t>3.06e-1</t>
  </si>
  <si>
    <t>7.24e+2</t>
  </si>
  <si>
    <t>1.67e+1</t>
  </si>
  <si>
    <t>-8.35e+0</t>
  </si>
  <si>
    <t>Changement climatique - occupation des sols et transformation de l'occupation des sols (kg CO2 eq.)</t>
  </si>
  <si>
    <t>1.03e-1</t>
  </si>
  <si>
    <t>4.60e-4</t>
  </si>
  <si>
    <t>4.38e-3</t>
  </si>
  <si>
    <t>1.08e-1</t>
  </si>
  <si>
    <t>-6.01e-2</t>
  </si>
  <si>
    <t>Total</t>
  </si>
  <si>
    <t>Fossil</t>
  </si>
  <si>
    <t>Biogénique</t>
  </si>
  <si>
    <t>Occupation sols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</si>
</sst>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_-* #,##0.00\ _€_-;\-* #,##0.00\ _€_-;_-* &quot;-&quot;??\ _€_-;_-@"/>
    <numFmt numFmtId="166" formatCode="_-* #,##0.00\ &quot;€&quot;_-;\-* #,##0.00\ &quot;€&quot;_-;_-* &quot;-&quot;??\ &quot;€&quot;_-;_-@"/>
    <numFmt numFmtId="167" formatCode="0.0000000000000000000"/>
    <numFmt numFmtId="168" formatCode="0.000"/>
    <numFmt numFmtId="169" formatCode="0.0"/>
    <numFmt numFmtId="170" formatCode="0.0000"/>
  </numFmts>
  <fonts count="22">
    <font>
      <sz val="11.0"/>
      <color theme="1"/>
      <name val="Quattrocento Sans"/>
      <scheme val="minor"/>
    </font>
    <font>
      <sz val="11.0"/>
      <color theme="1"/>
      <name val="Quattrocento Sans"/>
    </font>
    <font>
      <b/>
      <sz val="14.0"/>
      <color theme="1"/>
      <name val="Quattrocento Sans"/>
    </font>
    <font/>
    <font>
      <i/>
      <sz val="11.0"/>
      <color theme="1"/>
      <name val="Quattrocento Sans"/>
    </font>
    <font>
      <b/>
      <sz val="11.0"/>
      <color theme="4"/>
      <name val="Quattrocento Sans"/>
    </font>
    <font>
      <u/>
      <sz val="11.0"/>
      <color theme="10"/>
      <name val="Quattrocento Sans"/>
    </font>
    <font>
      <u/>
      <sz val="11.0"/>
      <color theme="10"/>
      <name val="Quattrocento Sans"/>
    </font>
    <font>
      <sz val="10.0"/>
      <color rgb="FF666666"/>
      <name val="Quattrocento Sans"/>
    </font>
    <font>
      <b/>
      <sz val="11.0"/>
      <color theme="1"/>
      <name val="Quattrocento Sans"/>
    </font>
    <font>
      <b/>
      <sz val="10.0"/>
      <color theme="1"/>
      <name val="Quattrocento Sans"/>
    </font>
    <font>
      <i/>
      <u/>
      <sz val="9.0"/>
      <color theme="1"/>
      <name val="Quattrocento Sans"/>
    </font>
    <font>
      <sz val="12.0"/>
      <color theme="1"/>
      <name val="Quattrocento Sans"/>
    </font>
    <font>
      <sz val="11.0"/>
      <color theme="4"/>
      <name val="Quattrocento Sans"/>
    </font>
    <font>
      <i/>
      <sz val="10.0"/>
      <color theme="1"/>
      <name val="Quattrocento Sans"/>
    </font>
    <font>
      <i/>
      <sz val="11.0"/>
      <color rgb="FFBDBDBD"/>
      <name val="Quattrocento Sans"/>
    </font>
    <font>
      <sz val="10.0"/>
      <color theme="1"/>
      <name val="Quattrocento Sans"/>
    </font>
    <font>
      <i/>
      <sz val="10.0"/>
      <color rgb="FF666666"/>
      <name val="Quattrocento Sans"/>
    </font>
    <font>
      <sz val="8.0"/>
      <color rgb="FFA5A5A5"/>
      <name val="Quattrocento Sans"/>
    </font>
    <font>
      <i/>
      <u/>
      <sz val="8.0"/>
      <color theme="1"/>
      <name val="Quattrocento Sans"/>
    </font>
    <font>
      <b/>
      <i/>
      <sz val="9.0"/>
      <color rgb="FFFFC000"/>
      <name val="Quattrocento Sans"/>
    </font>
    <font>
      <sz val="10.0"/>
      <color rgb="FF333333"/>
      <name val="Quattrocento Sans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D7E7"/>
        <bgColor rgb="FFFFD7E7"/>
      </patternFill>
    </fill>
    <fill>
      <patternFill patternType="solid">
        <fgColor rgb="FFD2D2D2"/>
        <bgColor rgb="FFD2D2D2"/>
      </patternFill>
    </fill>
    <fill>
      <patternFill patternType="solid">
        <fgColor rgb="FFF5F5F5"/>
        <bgColor rgb="FFF5F5F5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87BAFF"/>
        <bgColor rgb="FF87BAFF"/>
      </patternFill>
    </fill>
  </fills>
  <borders count="38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dotted">
        <color rgb="FFFFAFD0"/>
      </right>
      <top/>
      <bottom style="medium">
        <color rgb="FF000000"/>
      </bottom>
    </border>
    <border>
      <left style="dotted">
        <color rgb="FFFFAFD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DDDDDD"/>
      </top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4" numFmtId="164" xfId="0" applyAlignment="1" applyBorder="1" applyFont="1" applyNumberFormat="1">
      <alignment horizontal="left" vertical="center"/>
    </xf>
    <xf borderId="6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left" vertical="center"/>
    </xf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vertical="center"/>
    </xf>
    <xf borderId="8" fillId="3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" fillId="4" fontId="5" numFmtId="0" xfId="0" applyAlignment="1" applyBorder="1" applyFill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right" vertical="center"/>
    </xf>
    <xf borderId="11" fillId="3" fontId="8" numFmtId="0" xfId="0" applyAlignment="1" applyBorder="1" applyFont="1">
      <alignment vertical="center"/>
    </xf>
    <xf borderId="12" fillId="3" fontId="8" numFmtId="0" xfId="0" applyAlignment="1" applyBorder="1" applyFont="1">
      <alignment vertical="center"/>
    </xf>
    <xf borderId="13" fillId="3" fontId="8" numFmtId="0" xfId="0" applyAlignment="1" applyBorder="1" applyFont="1">
      <alignment horizontal="right" vertical="center"/>
    </xf>
    <xf borderId="1" fillId="2" fontId="1" numFmtId="0" xfId="0" applyAlignment="1" applyBorder="1" applyFont="1">
      <alignment vertical="center"/>
    </xf>
    <xf borderId="14" fillId="3" fontId="9" numFmtId="0" xfId="0" applyAlignment="1" applyBorder="1" applyFont="1">
      <alignment horizontal="left" vertical="center"/>
    </xf>
    <xf borderId="15" fillId="3" fontId="1" numFmtId="0" xfId="0" applyAlignment="1" applyBorder="1" applyFont="1">
      <alignment vertical="center"/>
    </xf>
    <xf borderId="15" fillId="3" fontId="10" numFmtId="0" xfId="0" applyAlignment="1" applyBorder="1" applyFont="1">
      <alignment vertical="center"/>
    </xf>
    <xf borderId="16" fillId="3" fontId="11" numFmtId="0" xfId="0" applyAlignment="1" applyBorder="1" applyFont="1">
      <alignment horizontal="right" vertical="center"/>
    </xf>
    <xf borderId="17" fillId="2" fontId="1" numFmtId="0" xfId="0" applyAlignment="1" applyBorder="1" applyFont="1">
      <alignment vertical="center"/>
    </xf>
    <xf borderId="1" fillId="2" fontId="10" numFmtId="0" xfId="0" applyAlignment="1" applyBorder="1" applyFont="1">
      <alignment vertical="center"/>
    </xf>
    <xf borderId="1" fillId="2" fontId="1" numFmtId="0" xfId="0" applyBorder="1" applyFont="1"/>
    <xf borderId="18" fillId="2" fontId="1" numFmtId="0" xfId="0" applyAlignment="1" applyBorder="1" applyFont="1">
      <alignment vertical="center"/>
    </xf>
    <xf borderId="19" fillId="5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right" shrinkToFit="0" vertical="center" wrapText="1"/>
    </xf>
    <xf borderId="19" fillId="4" fontId="1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right" vertical="center"/>
    </xf>
    <xf borderId="20" fillId="2" fontId="13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2" fontId="13" numFmtId="0" xfId="0" applyAlignment="1" applyBorder="1" applyFont="1">
      <alignment horizontal="center" shrinkToFit="0" vertical="center" wrapText="1"/>
    </xf>
    <xf borderId="24" fillId="2" fontId="10" numFmtId="0" xfId="0" applyAlignment="1" applyBorder="1" applyFont="1">
      <alignment horizontal="center" shrinkToFit="0" vertical="center" wrapText="1"/>
    </xf>
    <xf borderId="25" fillId="2" fontId="10" numFmtId="0" xfId="0" applyAlignment="1" applyBorder="1" applyFont="1">
      <alignment horizontal="center" shrinkToFit="0" vertical="center" wrapText="1"/>
    </xf>
    <xf borderId="26" fillId="2" fontId="10" numFmtId="0" xfId="0" applyAlignment="1" applyBorder="1" applyFont="1">
      <alignment horizontal="center" shrinkToFit="0" vertical="center" wrapText="1"/>
    </xf>
    <xf borderId="27" fillId="2" fontId="10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8" fillId="4" fontId="12" numFmtId="0" xfId="0" applyAlignment="1" applyBorder="1" applyFont="1">
      <alignment horizontal="center" shrinkToFit="0" vertical="center" wrapText="1"/>
    </xf>
    <xf borderId="29" fillId="4" fontId="12" numFmtId="0" xfId="0" applyAlignment="1" applyBorder="1" applyFont="1">
      <alignment horizontal="center" shrinkToFit="0" vertical="center" wrapText="1"/>
    </xf>
    <xf borderId="30" fillId="4" fontId="12" numFmtId="0" xfId="0" applyAlignment="1" applyBorder="1" applyFont="1">
      <alignment horizontal="center" shrinkToFit="0" vertical="center" wrapText="1"/>
    </xf>
    <xf borderId="31" fillId="4" fontId="12" numFmtId="0" xfId="0" applyAlignment="1" applyBorder="1" applyFont="1">
      <alignment horizontal="center" vertical="center"/>
    </xf>
    <xf borderId="1" fillId="2" fontId="14" numFmtId="0" xfId="0" applyAlignment="1" applyBorder="1" applyFont="1">
      <alignment vertical="center"/>
    </xf>
    <xf borderId="1" fillId="2" fontId="15" numFmtId="0" xfId="0" applyAlignment="1" applyBorder="1" applyFont="1">
      <alignment horizontal="right" vertical="center"/>
    </xf>
    <xf borderId="1" fillId="2" fontId="15" numFmtId="165" xfId="0" applyAlignment="1" applyBorder="1" applyFont="1" applyNumberFormat="1">
      <alignment horizontal="center" vertical="center"/>
    </xf>
    <xf borderId="1" fillId="2" fontId="15" numFmtId="166" xfId="0" applyAlignment="1" applyBorder="1" applyFont="1" applyNumberFormat="1">
      <alignment horizontal="center" vertical="center"/>
    </xf>
    <xf borderId="1" fillId="2" fontId="15" numFmtId="0" xfId="0" applyAlignment="1" applyBorder="1" applyFont="1">
      <alignment horizontal="center" vertical="center"/>
    </xf>
    <xf borderId="24" fillId="5" fontId="16" numFmtId="0" xfId="0" applyAlignment="1" applyBorder="1" applyFont="1">
      <alignment horizontal="center" shrinkToFit="0" vertical="center" wrapText="1"/>
    </xf>
    <xf borderId="25" fillId="5" fontId="16" numFmtId="0" xfId="0" applyAlignment="1" applyBorder="1" applyFont="1">
      <alignment horizontal="center" shrinkToFit="0" vertical="center" wrapText="1"/>
    </xf>
    <xf borderId="26" fillId="5" fontId="16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right" vertical="center"/>
    </xf>
    <xf borderId="28" fillId="5" fontId="9" numFmtId="0" xfId="0" applyAlignment="1" applyBorder="1" applyFont="1">
      <alignment horizontal="center" shrinkToFit="0" vertical="center" wrapText="1"/>
    </xf>
    <xf borderId="29" fillId="5" fontId="9" numFmtId="0" xfId="0" applyAlignment="1" applyBorder="1" applyFont="1">
      <alignment horizontal="center" shrinkToFit="0" vertical="center" wrapText="1"/>
    </xf>
    <xf borderId="30" fillId="5" fontId="9" numFmtId="0" xfId="0" applyAlignment="1" applyBorder="1" applyFont="1">
      <alignment horizontal="center" vertical="center"/>
    </xf>
    <xf borderId="18" fillId="2" fontId="1" numFmtId="1" xfId="0" applyAlignment="1" applyBorder="1" applyFont="1" applyNumberFormat="1">
      <alignment vertical="center"/>
    </xf>
    <xf borderId="1" fillId="2" fontId="17" numFmtId="0" xfId="0" applyAlignment="1" applyBorder="1" applyFont="1">
      <alignment horizontal="right" vertical="center"/>
    </xf>
    <xf borderId="1" fillId="2" fontId="17" numFmtId="0" xfId="0" applyAlignment="1" applyBorder="1" applyFont="1">
      <alignment horizontal="left" vertical="center"/>
    </xf>
    <xf borderId="1" fillId="2" fontId="1" numFmtId="167" xfId="0" applyAlignment="1" applyBorder="1" applyFont="1" applyNumberFormat="1">
      <alignment vertical="center"/>
    </xf>
    <xf borderId="32" fillId="2" fontId="1" numFmtId="0" xfId="0" applyAlignment="1" applyBorder="1" applyFont="1">
      <alignment vertical="center"/>
    </xf>
    <xf borderId="33" fillId="2" fontId="1" numFmtId="0" xfId="0" applyAlignment="1" applyBorder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35" fillId="2" fontId="1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vertical="center"/>
    </xf>
    <xf borderId="33" fillId="2" fontId="1" numFmtId="2" xfId="0" applyAlignment="1" applyBorder="1" applyFont="1" applyNumberFormat="1">
      <alignment horizontal="center" vertical="center"/>
    </xf>
    <xf borderId="34" fillId="2" fontId="1" numFmtId="2" xfId="0" applyAlignment="1" applyBorder="1" applyFont="1" applyNumberFormat="1">
      <alignment horizontal="center" vertical="center"/>
    </xf>
    <xf borderId="35" fillId="2" fontId="1" numFmtId="2" xfId="0" applyAlignment="1" applyBorder="1" applyFont="1" applyNumberFormat="1">
      <alignment horizontal="center" vertical="center"/>
    </xf>
    <xf borderId="19" fillId="2" fontId="1" numFmtId="168" xfId="0" applyAlignment="1" applyBorder="1" applyFont="1" applyNumberFormat="1">
      <alignment horizontal="center" vertical="center"/>
    </xf>
    <xf borderId="32" fillId="2" fontId="9" numFmtId="0" xfId="0" applyAlignment="1" applyBorder="1" applyFont="1">
      <alignment horizontal="center" vertical="center"/>
    </xf>
    <xf borderId="19" fillId="3" fontId="2" numFmtId="168" xfId="0" applyAlignment="1" applyBorder="1" applyFont="1" applyNumberFormat="1">
      <alignment horizontal="center" vertical="center"/>
    </xf>
    <xf borderId="14" fillId="2" fontId="1" numFmtId="0" xfId="0" applyAlignment="1" applyBorder="1" applyFont="1">
      <alignment vertical="center"/>
    </xf>
    <xf borderId="15" fillId="2" fontId="1" numFmtId="0" xfId="0" applyAlignment="1" applyBorder="1" applyFont="1">
      <alignment vertical="center"/>
    </xf>
    <xf borderId="16" fillId="2" fontId="18" numFmtId="0" xfId="0" applyAlignment="1" applyBorder="1" applyFont="1">
      <alignment horizontal="right" vertical="center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horizontal="right" vertical="center"/>
    </xf>
    <xf borderId="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1" fillId="6" fontId="9" numFmtId="0" xfId="0" applyAlignment="1" applyBorder="1" applyFill="1" applyFont="1">
      <alignment horizontal="right" vertical="center"/>
    </xf>
    <xf borderId="1" fillId="6" fontId="9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168" xfId="0" applyAlignment="1" applyFont="1" applyNumberFormat="1">
      <alignment vertical="center"/>
    </xf>
    <xf borderId="1" fillId="6" fontId="1" numFmtId="1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19" fillId="0" fontId="9" numFmtId="169" xfId="0" applyAlignment="1" applyBorder="1" applyFont="1" applyNumberFormat="1">
      <alignment vertical="center"/>
    </xf>
    <xf borderId="0" fillId="0" fontId="9" numFmtId="0" xfId="0" applyAlignment="1" applyFont="1">
      <alignment horizontal="right" vertical="center"/>
    </xf>
    <xf borderId="1" fillId="6" fontId="1" numFmtId="0" xfId="0" applyAlignment="1" applyBorder="1" applyFont="1">
      <alignment vertical="center"/>
    </xf>
    <xf borderId="0" fillId="0" fontId="1" numFmtId="2" xfId="0" applyAlignment="1" applyFont="1" applyNumberFormat="1">
      <alignment vertical="center"/>
    </xf>
    <xf borderId="0" fillId="0" fontId="1" numFmtId="0" xfId="0" applyFont="1"/>
    <xf borderId="16" fillId="3" fontId="19" numFmtId="0" xfId="0" applyAlignment="1" applyBorder="1" applyFont="1">
      <alignment horizontal="right" vertical="center"/>
    </xf>
    <xf borderId="19" fillId="5" fontId="1" numFmtId="0" xfId="0" applyAlignment="1" applyBorder="1" applyFont="1">
      <alignment shrinkToFit="0" vertical="center" wrapText="1"/>
    </xf>
    <xf borderId="12" fillId="2" fontId="1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8" fillId="2" fontId="15" numFmtId="165" xfId="0" applyAlignment="1" applyBorder="1" applyFont="1" applyNumberFormat="1">
      <alignment horizontal="center" vertical="center"/>
    </xf>
    <xf borderId="18" fillId="2" fontId="15" numFmtId="166" xfId="0" applyAlignment="1" applyBorder="1" applyFont="1" applyNumberFormat="1">
      <alignment horizontal="center" vertical="center"/>
    </xf>
    <xf borderId="15" fillId="2" fontId="15" numFmtId="0" xfId="0" applyAlignment="1" applyBorder="1" applyFont="1">
      <alignment horizontal="center" vertical="center"/>
    </xf>
    <xf borderId="16" fillId="2" fontId="15" numFmtId="0" xfId="0" applyAlignment="1" applyBorder="1" applyFont="1">
      <alignment horizontal="center" vertical="center"/>
    </xf>
    <xf borderId="36" fillId="2" fontId="10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wrapText="1"/>
    </xf>
    <xf borderId="1" fillId="2" fontId="16" numFmtId="0" xfId="0" applyAlignment="1" applyBorder="1" applyFont="1">
      <alignment horizontal="center" shrinkToFit="0" vertical="center" wrapText="1"/>
    </xf>
    <xf borderId="36" fillId="3" fontId="9" numFmtId="0" xfId="0" applyAlignment="1" applyBorder="1" applyFont="1">
      <alignment horizontal="left" shrinkToFit="0" vertical="center" wrapText="1"/>
    </xf>
    <xf borderId="36" fillId="3" fontId="9" numFmtId="0" xfId="0" applyAlignment="1" applyBorder="1" applyFont="1">
      <alignment horizontal="center" vertical="center"/>
    </xf>
    <xf borderId="37" fillId="7" fontId="21" numFmtId="0" xfId="0" applyAlignment="1" applyBorder="1" applyFill="1" applyFont="1">
      <alignment horizontal="center" shrinkToFit="0" vertical="center" wrapText="1"/>
    </xf>
    <xf borderId="36" fillId="4" fontId="9" numFmtId="0" xfId="0" applyAlignment="1" applyBorder="1" applyFont="1">
      <alignment horizontal="left" shrinkToFit="0" vertical="center" wrapText="1"/>
    </xf>
    <xf borderId="36" fillId="4" fontId="1" numFmtId="0" xfId="0" applyAlignment="1" applyBorder="1" applyFont="1">
      <alignment horizontal="center" vertical="center"/>
    </xf>
    <xf borderId="36" fillId="8" fontId="9" numFmtId="0" xfId="0" applyAlignment="1" applyBorder="1" applyFill="1" applyFont="1">
      <alignment horizontal="left" shrinkToFit="0" vertical="center" wrapText="1"/>
    </xf>
    <xf borderId="36" fillId="8" fontId="1" numFmtId="0" xfId="0" applyAlignment="1" applyBorder="1" applyFont="1">
      <alignment horizontal="center" vertical="center"/>
    </xf>
    <xf borderId="36" fillId="9" fontId="9" numFmtId="0" xfId="0" applyAlignment="1" applyBorder="1" applyFill="1" applyFont="1">
      <alignment horizontal="left" shrinkToFit="0" vertical="center" wrapText="1"/>
    </xf>
    <xf borderId="36" fillId="9" fontId="1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Changement climatique - fossil (kg CO2 eq.)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'Interface +A2 resultats'!$C$2:$D$2</c:f>
            </c:strRef>
          </c:cat>
          <c:val>
            <c:numRef>
              <c:f>'Interface +A2 resultats'!$C$4:$D$4</c:f>
              <c:numCache/>
            </c:numRef>
          </c:val>
        </c:ser>
        <c:ser>
          <c:idx val="1"/>
          <c:order val="1"/>
          <c:tx>
            <c:v>Changement climatique - biogénique (kg CO2 eq.)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cat>
            <c:strRef>
              <c:f>'Interface +A2 resultats'!$C$2:$D$2</c:f>
            </c:strRef>
          </c:cat>
          <c:val>
            <c:numRef>
              <c:f>'Interface +A2 resultats'!$C$5:$D$5</c:f>
              <c:numCache/>
            </c:numRef>
          </c:val>
        </c:ser>
        <c:ser>
          <c:idx val="2"/>
          <c:order val="2"/>
          <c:tx>
            <c:v>Changement climatique - occupation des sols et transformation de l'occupation des sols (kg CO2 eq.)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'Interface +A2 resultats'!$C$2:$D$2</c:f>
            </c:strRef>
          </c:cat>
          <c:val>
            <c:numRef>
              <c:f>'Interface +A2 resultats'!$C$6:$D$6</c:f>
              <c:numCache/>
            </c:numRef>
          </c:val>
        </c:ser>
        <c:overlap val="100"/>
        <c:axId val="1066756606"/>
        <c:axId val="522664730"/>
      </c:barChart>
      <c:catAx>
        <c:axId val="1066756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2664730"/>
      </c:catAx>
      <c:valAx>
        <c:axId val="522664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06675660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 améliorer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Occupation sols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'Interface +A2 resultats'!$K$24:$K$27</c:f>
            </c:numRef>
          </c:xVal>
          <c:yVal>
            <c:numRef>
              <c:f>'Interface +A2 resultats'!$O$24:$O$27</c:f>
              <c:numCache/>
            </c:numRef>
          </c:yVal>
        </c:ser>
        <c:ser>
          <c:idx val="1"/>
          <c:order val="1"/>
          <c:tx>
            <c:v>Biogénique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'Interface +A2 resultats'!$K$24:$K$27</c:f>
            </c:numRef>
          </c:xVal>
          <c:yVal>
            <c:numRef>
              <c:f>'Interface +A2 resultats'!$N$24:$N$27</c:f>
              <c:numCache/>
            </c:numRef>
          </c:yVal>
        </c:ser>
        <c:ser>
          <c:idx val="2"/>
          <c:order val="2"/>
          <c:tx>
            <c:v>Fossil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'Interface +A2 resultats'!$K$24:$K$27</c:f>
            </c:numRef>
          </c:xVal>
          <c:yVal>
            <c:numRef>
              <c:f>'Interface +A2 resultats'!$M$24:$M$27</c:f>
              <c:numCache/>
            </c:numRef>
          </c:yVal>
        </c:ser>
        <c:ser>
          <c:idx val="3"/>
          <c:order val="3"/>
          <c:tx>
            <c:v>Total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'Interface +A2 resultats'!$K$24:$K$27</c:f>
            </c:numRef>
          </c:xVal>
          <c:yVal>
            <c:numRef>
              <c:f>'Interface +A2 resultats'!$L$24:$L$27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742658"/>
        <c:axId val="1800775053"/>
      </c:scatterChart>
      <c:valAx>
        <c:axId val="376742658"/>
        <c:scaling>
          <c:orientation val="minMax"/>
          <c:max val="5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0775053"/>
      </c:valAx>
      <c:valAx>
        <c:axId val="1800775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674265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28</xdr:row>
      <xdr:rowOff>0</xdr:rowOff>
    </xdr:from>
    <xdr:ext cx="514350" cy="361950"/>
    <xdr:sp>
      <xdr:nvSpPr>
        <xdr:cNvPr id="3" name="Shape 3"/>
        <xdr:cNvSpPr/>
      </xdr:nvSpPr>
      <xdr:spPr>
        <a:xfrm>
          <a:off x="5117400" y="3627600"/>
          <a:ext cx="457200" cy="304800"/>
        </a:xfrm>
        <a:prstGeom prst="rect">
          <a:avLst/>
        </a:prstGeom>
        <a:noFill/>
        <a:ln cap="flat" cmpd="sng" w="5715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28575</xdr:colOff>
      <xdr:row>34</xdr:row>
      <xdr:rowOff>38100</xdr:rowOff>
    </xdr:from>
    <xdr:ext cx="6610350" cy="15049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</xdr:row>
      <xdr:rowOff>9525</xdr:rowOff>
    </xdr:from>
    <xdr:ext cx="2419350" cy="13716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44</xdr:row>
      <xdr:rowOff>0</xdr:rowOff>
    </xdr:from>
    <xdr:ext cx="3705225" cy="7810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50</xdr:row>
      <xdr:rowOff>19050</xdr:rowOff>
    </xdr:from>
    <xdr:ext cx="6000750" cy="178117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25</xdr:row>
      <xdr:rowOff>28575</xdr:rowOff>
    </xdr:from>
    <xdr:ext cx="5372100" cy="147637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14</xdr:row>
      <xdr:rowOff>123825</xdr:rowOff>
    </xdr:from>
    <xdr:ext cx="5695950" cy="37623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</xdr:row>
      <xdr:rowOff>85725</xdr:rowOff>
    </xdr:from>
    <xdr:ext cx="4743450" cy="27051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28</xdr:row>
      <xdr:rowOff>171450</xdr:rowOff>
    </xdr:from>
    <xdr:ext cx="4829175" cy="20955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39</xdr:row>
      <xdr:rowOff>133350</xdr:rowOff>
    </xdr:from>
    <xdr:ext cx="4743450" cy="15240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1524000</xdr:colOff>
      <xdr:row>6</xdr:row>
      <xdr:rowOff>47625</xdr:rowOff>
    </xdr:from>
    <xdr:ext cx="2905125" cy="3933825"/>
    <xdr:graphicFrame>
      <xdr:nvGraphicFramePr>
        <xdr:cNvPr id="202434314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133350</xdr:colOff>
      <xdr:row>7</xdr:row>
      <xdr:rowOff>85725</xdr:rowOff>
    </xdr:from>
    <xdr:ext cx="3914775" cy="2695575"/>
    <xdr:graphicFrame>
      <xdr:nvGraphicFramePr>
        <xdr:cNvPr id="158569626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14</xdr:row>
      <xdr:rowOff>123825</xdr:rowOff>
    </xdr:from>
    <xdr:ext cx="5695950" cy="37623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</xdr:row>
      <xdr:rowOff>85725</xdr:rowOff>
    </xdr:from>
    <xdr:ext cx="4743450" cy="27051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28</xdr:row>
      <xdr:rowOff>171450</xdr:rowOff>
    </xdr:from>
    <xdr:ext cx="4829175" cy="20955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39</xdr:row>
      <xdr:rowOff>133350</xdr:rowOff>
    </xdr:from>
    <xdr:ext cx="4743450" cy="15240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17BBFD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ies.fr/" TargetMode="External"/><Relationship Id="rId2" Type="http://schemas.openxmlformats.org/officeDocument/2006/relationships/hyperlink" Target="https://www.inies.fr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B71FF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6.25"/>
    <col customWidth="1" min="3" max="3" width="17.25"/>
    <col customWidth="1" min="4" max="4" width="14.5"/>
    <col customWidth="1" min="5" max="7" width="11.25"/>
    <col customWidth="1" min="8" max="26" width="10.63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5">
        <v>45061.0</v>
      </c>
      <c r="C4" s="6" t="s">
        <v>1</v>
      </c>
      <c r="D4" s="7" t="s">
        <v>2</v>
      </c>
      <c r="E4" s="8"/>
      <c r="F4" s="8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5">
        <v>44714.0</v>
      </c>
      <c r="C5" s="6" t="s">
        <v>3</v>
      </c>
      <c r="D5" s="7" t="s">
        <v>4</v>
      </c>
      <c r="E5" s="8"/>
      <c r="F5" s="8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1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2" t="s">
        <v>7</v>
      </c>
      <c r="C11" s="13"/>
      <c r="D11" s="13"/>
      <c r="E11" s="13"/>
      <c r="F11" s="13"/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5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6" t="s">
        <v>9</v>
      </c>
      <c r="C14" s="1"/>
      <c r="D14" s="1"/>
      <c r="E14" s="1"/>
      <c r="F14" s="1"/>
      <c r="G14" s="17" t="s">
        <v>10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5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1" t="s">
        <v>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5" t="s">
        <v>13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1" t="s">
        <v>14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5" t="s">
        <v>15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1" t="s">
        <v>16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5" t="s">
        <v>17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6" t="s">
        <v>18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5" t="s">
        <v>19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6" t="s">
        <v>20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6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6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6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6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6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6.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2">
    <mergeCell ref="B2:G2"/>
    <mergeCell ref="B11:G11"/>
  </mergeCells>
  <hyperlinks>
    <hyperlink r:id="rId1" ref="B14"/>
    <hyperlink r:id="rId2" ref="G14"/>
    <hyperlink display="coller le CTRL C dans la partie rose de l'onglet &quot;Interface&quot; ici" location="null!C8" ref="B44"/>
    <hyperlink display="Faire de même avec le Module D dans &quot;Afficher les phases optionnelles sur INIES" location="null!H8" ref="B50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3.13"/>
    <col customWidth="1" min="3" max="3" width="16.63"/>
    <col customWidth="1" min="4" max="8" width="13.38"/>
    <col customWidth="1" min="9" max="9" width="5.63"/>
    <col customWidth="1" min="10" max="26" width="10.63"/>
  </cols>
  <sheetData>
    <row r="1" ht="16.5" customHeight="1">
      <c r="A1" s="18" t="s">
        <v>21</v>
      </c>
      <c r="B1" s="19"/>
      <c r="C1" s="19" t="s">
        <v>22</v>
      </c>
      <c r="D1" s="19"/>
      <c r="E1" s="19"/>
      <c r="F1" s="19"/>
      <c r="G1" s="19"/>
      <c r="H1" s="19"/>
      <c r="I1" s="20" t="s">
        <v>23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6.5" customHeight="1">
      <c r="A2" s="22">
        <v>28406.0</v>
      </c>
      <c r="B2" s="23"/>
      <c r="C2" s="24" t="s">
        <v>24</v>
      </c>
      <c r="D2" s="23"/>
      <c r="E2" s="23"/>
      <c r="F2" s="23"/>
      <c r="G2" s="23"/>
      <c r="H2" s="23"/>
      <c r="I2" s="25" t="str">
        <f>"https://www.base-inies.fr/iniesV4/dist/consultation.html?id="&amp;A2</f>
        <v>https://www.base-inies.fr/iniesV4/dist/consultation.html?id=28406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6.5" customHeight="1">
      <c r="A3" s="26"/>
      <c r="B3" s="21"/>
      <c r="C3" s="27"/>
      <c r="D3" s="21"/>
      <c r="E3" s="21"/>
      <c r="F3" s="21"/>
      <c r="G3" s="21"/>
      <c r="H3" s="28"/>
      <c r="I3" s="29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6.25" customHeight="1">
      <c r="A4" s="30" t="s">
        <v>25</v>
      </c>
      <c r="B4" s="31" t="s">
        <v>26</v>
      </c>
      <c r="C4" s="32">
        <v>100.0</v>
      </c>
      <c r="D4" s="21" t="s">
        <v>27</v>
      </c>
      <c r="E4" s="21"/>
      <c r="F4" s="21"/>
      <c r="G4" s="21"/>
      <c r="H4" s="21"/>
      <c r="I4" s="29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6.5" customHeight="1">
      <c r="A5" s="26"/>
      <c r="B5" s="21"/>
      <c r="C5" s="21"/>
      <c r="D5" s="21"/>
      <c r="E5" s="21"/>
      <c r="F5" s="33"/>
      <c r="G5" s="1"/>
      <c r="H5" s="21"/>
      <c r="I5" s="29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31.5" customHeight="1">
      <c r="A6" s="30" t="s">
        <v>28</v>
      </c>
      <c r="B6" s="33"/>
      <c r="C6" s="34" t="s">
        <v>29</v>
      </c>
      <c r="D6" s="35"/>
      <c r="E6" s="35"/>
      <c r="F6" s="35"/>
      <c r="G6" s="36"/>
      <c r="H6" s="37" t="s">
        <v>30</v>
      </c>
      <c r="I6" s="29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4.0" customHeight="1">
      <c r="A7" s="26"/>
      <c r="B7" s="21"/>
      <c r="C7" s="38" t="s">
        <v>31</v>
      </c>
      <c r="D7" s="39" t="s">
        <v>32</v>
      </c>
      <c r="E7" s="39" t="s">
        <v>33</v>
      </c>
      <c r="F7" s="39" t="s">
        <v>34</v>
      </c>
      <c r="G7" s="40" t="s">
        <v>35</v>
      </c>
      <c r="H7" s="41" t="s">
        <v>36</v>
      </c>
      <c r="I7" s="29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8.5" customHeight="1">
      <c r="A8" s="26"/>
      <c r="B8" s="42" t="s">
        <v>37</v>
      </c>
      <c r="C8" s="43" t="s">
        <v>38</v>
      </c>
      <c r="D8" s="44" t="s">
        <v>39</v>
      </c>
      <c r="E8" s="44" t="s">
        <v>40</v>
      </c>
      <c r="F8" s="44" t="s">
        <v>41</v>
      </c>
      <c r="G8" s="45" t="s">
        <v>42</v>
      </c>
      <c r="H8" s="46" t="s">
        <v>43</v>
      </c>
      <c r="I8" s="29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6.5" customHeight="1">
      <c r="A9" s="26"/>
      <c r="B9" s="21"/>
      <c r="C9" s="47" t="s">
        <v>44</v>
      </c>
      <c r="D9" s="42"/>
      <c r="E9" s="42"/>
      <c r="F9" s="42"/>
      <c r="G9" s="21"/>
      <c r="H9" s="21"/>
      <c r="I9" s="29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26"/>
      <c r="B10" s="21"/>
      <c r="C10" s="21"/>
      <c r="D10" s="42"/>
      <c r="E10" s="42"/>
      <c r="F10" s="42"/>
      <c r="G10" s="21"/>
      <c r="H10" s="21"/>
      <c r="I10" s="29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26"/>
      <c r="B11" s="48" t="s">
        <v>45</v>
      </c>
      <c r="C11" s="49">
        <f t="shared" ref="C11:H11" si="1">SEARCH(".",C8)</f>
        <v>3</v>
      </c>
      <c r="D11" s="49">
        <f t="shared" si="1"/>
        <v>2</v>
      </c>
      <c r="E11" s="49">
        <f t="shared" si="1"/>
        <v>2</v>
      </c>
      <c r="F11" s="49">
        <f t="shared" si="1"/>
        <v>2</v>
      </c>
      <c r="G11" s="49">
        <f t="shared" si="1"/>
        <v>2</v>
      </c>
      <c r="H11" s="49">
        <f t="shared" si="1"/>
        <v>3</v>
      </c>
      <c r="I11" s="29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26"/>
      <c r="B12" s="48" t="s">
        <v>46</v>
      </c>
      <c r="C12" s="50" t="str">
        <f t="shared" ref="C12:H12" si="2">REPLACE(C8,C11,1,",")</f>
        <v>-3,18e+1</v>
      </c>
      <c r="D12" s="50" t="str">
        <f t="shared" si="2"/>
        <v>2,22e+0</v>
      </c>
      <c r="E12" s="50" t="str">
        <f t="shared" si="2"/>
        <v>0,00e+0</v>
      </c>
      <c r="F12" s="50" t="str">
        <f t="shared" si="2"/>
        <v>3,33e+1</v>
      </c>
      <c r="G12" s="50" t="str">
        <f t="shared" si="2"/>
        <v>3,72e+0</v>
      </c>
      <c r="H12" s="50" t="str">
        <f t="shared" si="2"/>
        <v>-4,75e+0</v>
      </c>
      <c r="I12" s="29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26"/>
      <c r="B13" s="48" t="s">
        <v>47</v>
      </c>
      <c r="C13" s="51">
        <f t="shared" ref="C13:H13" si="3">VALUE(C12)</f>
        <v>-31.8</v>
      </c>
      <c r="D13" s="51">
        <f t="shared" si="3"/>
        <v>2.22</v>
      </c>
      <c r="E13" s="51">
        <f t="shared" si="3"/>
        <v>0</v>
      </c>
      <c r="F13" s="51">
        <f t="shared" si="3"/>
        <v>33.3</v>
      </c>
      <c r="G13" s="51">
        <f t="shared" si="3"/>
        <v>3.72</v>
      </c>
      <c r="H13" s="51">
        <f t="shared" si="3"/>
        <v>-4.75</v>
      </c>
      <c r="I13" s="29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26"/>
      <c r="B14" s="48"/>
      <c r="C14" s="51"/>
      <c r="D14" s="51"/>
      <c r="E14" s="51"/>
      <c r="F14" s="51"/>
      <c r="G14" s="51"/>
      <c r="H14" s="51"/>
      <c r="I14" s="29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3.25" customHeight="1">
      <c r="A15" s="26"/>
      <c r="B15" s="21"/>
      <c r="C15" s="52" t="s">
        <v>48</v>
      </c>
      <c r="D15" s="53" t="s">
        <v>49</v>
      </c>
      <c r="E15" s="53" t="s">
        <v>50</v>
      </c>
      <c r="F15" s="53" t="s">
        <v>51</v>
      </c>
      <c r="G15" s="53"/>
      <c r="H15" s="54" t="s">
        <v>52</v>
      </c>
      <c r="I15" s="29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9.0" customHeight="1">
      <c r="A16" s="26"/>
      <c r="B16" s="21"/>
      <c r="C16" s="52" t="s">
        <v>31</v>
      </c>
      <c r="D16" s="53" t="s">
        <v>32</v>
      </c>
      <c r="E16" s="53" t="s">
        <v>33</v>
      </c>
      <c r="F16" s="53" t="s">
        <v>34</v>
      </c>
      <c r="G16" s="53" t="s">
        <v>35</v>
      </c>
      <c r="H16" s="54" t="s">
        <v>36</v>
      </c>
      <c r="I16" s="29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6.5" customHeight="1">
      <c r="A17" s="26"/>
      <c r="B17" s="55" t="s">
        <v>53</v>
      </c>
      <c r="C17" s="56">
        <f t="shared" ref="C17:G17" si="4">ROUND(C13,$C$18)</f>
        <v>-31.8</v>
      </c>
      <c r="D17" s="57">
        <f t="shared" si="4"/>
        <v>2.22</v>
      </c>
      <c r="E17" s="57">
        <f t="shared" si="4"/>
        <v>0</v>
      </c>
      <c r="F17" s="57">
        <f t="shared" si="4"/>
        <v>33.3</v>
      </c>
      <c r="G17" s="57">
        <f t="shared" si="4"/>
        <v>3.72</v>
      </c>
      <c r="H17" s="58">
        <f>IFERROR(ROUND(H13,$C$18),0)</f>
        <v>-4.75</v>
      </c>
      <c r="I17" s="59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6.5" customHeight="1">
      <c r="A18" s="26"/>
      <c r="B18" s="60" t="s">
        <v>54</v>
      </c>
      <c r="C18" s="61">
        <v>5.0</v>
      </c>
      <c r="D18" s="62"/>
      <c r="E18" s="62"/>
      <c r="F18" s="62"/>
      <c r="G18" s="62"/>
      <c r="H18" s="21"/>
      <c r="I18" s="29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9.0" customHeight="1">
      <c r="A19" s="26"/>
      <c r="B19" s="33"/>
      <c r="C19" s="11"/>
      <c r="D19" s="62"/>
      <c r="E19" s="62"/>
      <c r="F19" s="62"/>
      <c r="G19" s="62"/>
      <c r="H19" s="21"/>
      <c r="I19" s="29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6.5" customHeight="1">
      <c r="A20" s="26"/>
      <c r="B20" s="21"/>
      <c r="C20" s="63"/>
      <c r="D20" s="64" t="s">
        <v>55</v>
      </c>
      <c r="E20" s="65" t="s">
        <v>56</v>
      </c>
      <c r="F20" s="66" t="s">
        <v>57</v>
      </c>
      <c r="G20" s="67" t="s">
        <v>58</v>
      </c>
      <c r="H20" s="21"/>
      <c r="I20" s="29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6.5" customHeight="1">
      <c r="A21" s="26"/>
      <c r="B21" s="21"/>
      <c r="C21" s="68" t="s">
        <v>59</v>
      </c>
      <c r="D21" s="69">
        <f>C17+D17</f>
        <v>-29.58</v>
      </c>
      <c r="E21" s="70">
        <f>G21-F21-D21</f>
        <v>0</v>
      </c>
      <c r="F21" s="71">
        <f>F17+H17/3</f>
        <v>31.71666667</v>
      </c>
      <c r="G21" s="72">
        <f>(50/(MIN(50,C4))*(G17+(H17/3)))</f>
        <v>2.136666667</v>
      </c>
      <c r="H21" s="21"/>
      <c r="I21" s="29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6.5" customHeight="1">
      <c r="A22" s="26"/>
      <c r="B22" s="21"/>
      <c r="C22" s="73" t="s">
        <v>60</v>
      </c>
      <c r="D22" s="69">
        <f>'Calcul +A1'!D11</f>
        <v>-29.58</v>
      </c>
      <c r="E22" s="70">
        <f>SUM('Calcul +A1'!E11:BA12)</f>
        <v>0</v>
      </c>
      <c r="F22" s="71">
        <f>SUM('Calcul +A1'!BB11:BB12)</f>
        <v>16.5019</v>
      </c>
      <c r="G22" s="74">
        <f>'Calcul +A1'!B13</f>
        <v>-13.0781</v>
      </c>
      <c r="H22" s="21"/>
      <c r="I22" s="29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6.5" customHeight="1">
      <c r="A23" s="75"/>
      <c r="B23" s="76"/>
      <c r="C23" s="76"/>
      <c r="D23" s="76"/>
      <c r="E23" s="76"/>
      <c r="F23" s="76"/>
      <c r="G23" s="76"/>
      <c r="H23" s="76"/>
      <c r="I23" s="77" t="str">
        <f>Infos!C4&amp;", "&amp;Infos!B9</f>
        <v>V2, par Guillaume Meunier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6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6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6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6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6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6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6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6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33.0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6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6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6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6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6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6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6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6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6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6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6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6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6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6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6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6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6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6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6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6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6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6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6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6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6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6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6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6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6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6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6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6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6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6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6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6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6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6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6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6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6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6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6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6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6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6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6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6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6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6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6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6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6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6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6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6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6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6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6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6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6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6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6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6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6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6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6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6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6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6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6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6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6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6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6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6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6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6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6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6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6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6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6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6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6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6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6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6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6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6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6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6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6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6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6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6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6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6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6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6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6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6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6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6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6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6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6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6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6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6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6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6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6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6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6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6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6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6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6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6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6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6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6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6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6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6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6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6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6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6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6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6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6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6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6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6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6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6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6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6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6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6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6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6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6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6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6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6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6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6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6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6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6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6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6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6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6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6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6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6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6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6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6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6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6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6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6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6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6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6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6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6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6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6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6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6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6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6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6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6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6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6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6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6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6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6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6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6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6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6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6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6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6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6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6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6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6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6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6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6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6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6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6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6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6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6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6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6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6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6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6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6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6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6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6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6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6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6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6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6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6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6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6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6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6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6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6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6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6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6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6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6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6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6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6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6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6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6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6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6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6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6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6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6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6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6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6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6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6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6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6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6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6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6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6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6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6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6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6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6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6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6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6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6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6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6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6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6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6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6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6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6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6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6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6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6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6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6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6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6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6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6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6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6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6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6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6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6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6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6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6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6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6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6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6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6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6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6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6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6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6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6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6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6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6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6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6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6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6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6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6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6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6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6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6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6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6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6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6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6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6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6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6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6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6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6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6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6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6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6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6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6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6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6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6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6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6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6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6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6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6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6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6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6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6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6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6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6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6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6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6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6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6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6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6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6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6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6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6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6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6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6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6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6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6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6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6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6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6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6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6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6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6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6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6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6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6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6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6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6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6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6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6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6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6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6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6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6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6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6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6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6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6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6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6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6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6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6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6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6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6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6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6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6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6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6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6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6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6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6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6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6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6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6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6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6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6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6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6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6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6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6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6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6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6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6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6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6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6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6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6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6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6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6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6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6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6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6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6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6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6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6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6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6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6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6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6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6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6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6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6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6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6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6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6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6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6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6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6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6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6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6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6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6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6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6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6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6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6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6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6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6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6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6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6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6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6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6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6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6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6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6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6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6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6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6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6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6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6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6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6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6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6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6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6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6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6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6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6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6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6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6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6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6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6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6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6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6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6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6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6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6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6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6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6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6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6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6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6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6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6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6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6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6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6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6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6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6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6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6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6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6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6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6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6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6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6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6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6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6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6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6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6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6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6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6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6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6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6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6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6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6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6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6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6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6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6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6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6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6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6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6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6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6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6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6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6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6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6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6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6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6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6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6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6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6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6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6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6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6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6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6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6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6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6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6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6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6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6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6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6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6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6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6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6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6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6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6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6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6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6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6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6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6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6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6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6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6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6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6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6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6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6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6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6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6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6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6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6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6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6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6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6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6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6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6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6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6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6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6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6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6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6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6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6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6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6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6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6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6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6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6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6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6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6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6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6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6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6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6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6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6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6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6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6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6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6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6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6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6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6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6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6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6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6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6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6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6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6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6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6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6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6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6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6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6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6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6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6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6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6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6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6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6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6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6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6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6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6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6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6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6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6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6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6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6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6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6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6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6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6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6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6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6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6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6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6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6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6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6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6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6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6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6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6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6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6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6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6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6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6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6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6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6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6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6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6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6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6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6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6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6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6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6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6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6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6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6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6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6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6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6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6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6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6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6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6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6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6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6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6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6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6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6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6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6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6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6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6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6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6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6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6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6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6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6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6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6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6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6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6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6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6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6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6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6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6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6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6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6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6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6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6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6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6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6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6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6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6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6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6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6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6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6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6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6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6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6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6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6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6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6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6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6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6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6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6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6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6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6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6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6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6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6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6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6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6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6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6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6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6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6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6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6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6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6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6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6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6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6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6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6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6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6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6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6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6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6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6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6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6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6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6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6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6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6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6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6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6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6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6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6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6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6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6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6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6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6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6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6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6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6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6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6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6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6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6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6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6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6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6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6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6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6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6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6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6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6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6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6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6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6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6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6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6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6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6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6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6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6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6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6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6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6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6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6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6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6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6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6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6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6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6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6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6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6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6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6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6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6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6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6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6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6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6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6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6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6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6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6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6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6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6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6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6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6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6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6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6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6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6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6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6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6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6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6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6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6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6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6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6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6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6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6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6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6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6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6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6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6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6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6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6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6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6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6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6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6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6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6.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6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6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6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C6:G6"/>
  </mergeCells>
  <printOptions horizontalCentered="1" vertic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D2D2"/>
    <pageSetUpPr/>
  </sheetPr>
  <sheetViews>
    <sheetView workbookViewId="0"/>
  </sheetViews>
  <sheetFormatPr customHeight="1" defaultColWidth="12.63" defaultRowHeight="15.0"/>
  <cols>
    <col customWidth="1" min="1" max="2" width="11.25"/>
    <col customWidth="1" min="3" max="3" width="14.38"/>
    <col customWidth="1" min="4" max="54" width="5.25"/>
    <col customWidth="1" min="55" max="56" width="11.25"/>
  </cols>
  <sheetData>
    <row r="1" ht="16.5" customHeight="1">
      <c r="A1" s="78"/>
      <c r="B1" s="78"/>
      <c r="C1" s="79" t="s">
        <v>61</v>
      </c>
      <c r="D1" s="80">
        <f>QUOTIENT('Calcul +A1'!J1,M1)</f>
        <v>0</v>
      </c>
      <c r="E1" s="78"/>
      <c r="F1" s="79" t="s">
        <v>62</v>
      </c>
      <c r="G1" s="80">
        <f>('Calcul +A1'!J1/M1)-'Calcul +A1'!D1</f>
        <v>0.5</v>
      </c>
      <c r="H1" s="78"/>
      <c r="I1" s="79" t="s">
        <v>63</v>
      </c>
      <c r="J1" s="81">
        <v>50.0</v>
      </c>
      <c r="K1" s="82" t="s">
        <v>27</v>
      </c>
      <c r="L1" s="79" t="s">
        <v>64</v>
      </c>
      <c r="M1" s="81">
        <f>'Interface +A1'!C4</f>
        <v>100</v>
      </c>
      <c r="N1" s="82" t="s">
        <v>27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</row>
    <row r="2" ht="16.5" customHeight="1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</row>
    <row r="3" ht="16.5" customHeight="1">
      <c r="A3" s="78"/>
      <c r="B3" s="78"/>
      <c r="C3" s="83" t="s">
        <v>65</v>
      </c>
      <c r="D3" s="84">
        <v>0.0</v>
      </c>
      <c r="E3" s="84">
        <v>1.0</v>
      </c>
      <c r="F3" s="84">
        <v>2.0</v>
      </c>
      <c r="G3" s="84">
        <v>3.0</v>
      </c>
      <c r="H3" s="84">
        <v>4.0</v>
      </c>
      <c r="I3" s="84">
        <v>5.0</v>
      </c>
      <c r="J3" s="84">
        <v>6.0</v>
      </c>
      <c r="K3" s="84">
        <v>7.0</v>
      </c>
      <c r="L3" s="84">
        <v>8.0</v>
      </c>
      <c r="M3" s="84">
        <v>9.0</v>
      </c>
      <c r="N3" s="84">
        <v>10.0</v>
      </c>
      <c r="O3" s="84">
        <v>11.0</v>
      </c>
      <c r="P3" s="84">
        <v>12.0</v>
      </c>
      <c r="Q3" s="84">
        <v>13.0</v>
      </c>
      <c r="R3" s="84">
        <v>14.0</v>
      </c>
      <c r="S3" s="84">
        <v>15.0</v>
      </c>
      <c r="T3" s="84">
        <v>16.0</v>
      </c>
      <c r="U3" s="84">
        <v>17.0</v>
      </c>
      <c r="V3" s="84">
        <v>18.0</v>
      </c>
      <c r="W3" s="84">
        <v>19.0</v>
      </c>
      <c r="X3" s="84">
        <v>20.0</v>
      </c>
      <c r="Y3" s="84">
        <v>21.0</v>
      </c>
      <c r="Z3" s="84">
        <v>22.0</v>
      </c>
      <c r="AA3" s="84">
        <v>23.0</v>
      </c>
      <c r="AB3" s="84">
        <v>24.0</v>
      </c>
      <c r="AC3" s="84">
        <v>25.0</v>
      </c>
      <c r="AD3" s="84">
        <v>26.0</v>
      </c>
      <c r="AE3" s="84">
        <v>27.0</v>
      </c>
      <c r="AF3" s="84">
        <v>28.0</v>
      </c>
      <c r="AG3" s="84">
        <v>29.0</v>
      </c>
      <c r="AH3" s="84">
        <v>30.0</v>
      </c>
      <c r="AI3" s="84">
        <v>31.0</v>
      </c>
      <c r="AJ3" s="84">
        <v>32.0</v>
      </c>
      <c r="AK3" s="84">
        <v>33.0</v>
      </c>
      <c r="AL3" s="84">
        <v>34.0</v>
      </c>
      <c r="AM3" s="84">
        <v>35.0</v>
      </c>
      <c r="AN3" s="84">
        <v>36.0</v>
      </c>
      <c r="AO3" s="84">
        <v>37.0</v>
      </c>
      <c r="AP3" s="84">
        <v>38.0</v>
      </c>
      <c r="AQ3" s="84">
        <v>39.0</v>
      </c>
      <c r="AR3" s="84">
        <v>40.0</v>
      </c>
      <c r="AS3" s="84">
        <v>41.0</v>
      </c>
      <c r="AT3" s="84">
        <v>42.0</v>
      </c>
      <c r="AU3" s="84">
        <v>43.0</v>
      </c>
      <c r="AV3" s="84">
        <v>44.0</v>
      </c>
      <c r="AW3" s="84">
        <v>45.0</v>
      </c>
      <c r="AX3" s="84">
        <v>46.0</v>
      </c>
      <c r="AY3" s="84">
        <v>47.0</v>
      </c>
      <c r="AZ3" s="84">
        <v>48.0</v>
      </c>
      <c r="BA3" s="84">
        <v>49.0</v>
      </c>
      <c r="BB3" s="84">
        <v>50.0</v>
      </c>
      <c r="BC3" s="78"/>
      <c r="BD3" s="78"/>
    </row>
    <row r="4" ht="16.5" customHeight="1">
      <c r="A4" s="78"/>
      <c r="B4" s="78"/>
      <c r="C4" s="85" t="s">
        <v>66</v>
      </c>
      <c r="D4" s="78">
        <f>'Art. 11'!E7</f>
        <v>1</v>
      </c>
      <c r="E4" s="78">
        <f>'Art. 11'!F7</f>
        <v>0.992</v>
      </c>
      <c r="F4" s="78">
        <f>'Art. 11'!G7</f>
        <v>0.984</v>
      </c>
      <c r="G4" s="78">
        <f>'Art. 11'!H7</f>
        <v>0.976</v>
      </c>
      <c r="H4" s="78">
        <f>'Art. 11'!I7</f>
        <v>0.969</v>
      </c>
      <c r="I4" s="78">
        <f>'Art. 11'!J7</f>
        <v>0.961</v>
      </c>
      <c r="J4" s="78">
        <f>'Art. 11'!K7</f>
        <v>0.953</v>
      </c>
      <c r="K4" s="78">
        <f>'Art. 11'!L7</f>
        <v>0.945</v>
      </c>
      <c r="L4" s="78">
        <f>'Art. 11'!M7</f>
        <v>0.937</v>
      </c>
      <c r="M4" s="78">
        <f>'Art. 11'!N7</f>
        <v>0.929</v>
      </c>
      <c r="N4" s="78">
        <f>'Art. 11'!O7</f>
        <v>0.921</v>
      </c>
      <c r="O4" s="78">
        <f>'Art. 11'!P7</f>
        <v>0.913</v>
      </c>
      <c r="P4" s="78">
        <f>'Art. 11'!Q7</f>
        <v>0.905</v>
      </c>
      <c r="Q4" s="78">
        <f>'Art. 11'!R7</f>
        <v>0.897</v>
      </c>
      <c r="R4" s="78">
        <f>'Art. 11'!S7</f>
        <v>0.889</v>
      </c>
      <c r="S4" s="78">
        <f>'Art. 11'!T7</f>
        <v>0.88</v>
      </c>
      <c r="T4" s="78">
        <f>'Art. 11'!U7</f>
        <v>0.872</v>
      </c>
      <c r="U4" s="78">
        <f>'Art. 11'!V7</f>
        <v>0.864</v>
      </c>
      <c r="V4" s="78">
        <f>'Art. 11'!W7</f>
        <v>0.856</v>
      </c>
      <c r="W4" s="78">
        <f>'Art. 11'!X7</f>
        <v>0.848</v>
      </c>
      <c r="X4" s="78">
        <f>'Art. 11'!Y7</f>
        <v>0.84</v>
      </c>
      <c r="Y4" s="78">
        <f>'Art. 11'!Z7</f>
        <v>0.831</v>
      </c>
      <c r="Z4" s="78">
        <f>'Art. 11'!AA7</f>
        <v>0.823</v>
      </c>
      <c r="AA4" s="78">
        <f>'Art. 11'!AB7</f>
        <v>0.815</v>
      </c>
      <c r="AB4" s="78">
        <f>'Art. 11'!AC7</f>
        <v>0.806</v>
      </c>
      <c r="AC4" s="78">
        <f>'Art. 11'!AD7</f>
        <v>0.798</v>
      </c>
      <c r="AD4" s="78">
        <f>'Art. 11'!AE7</f>
        <v>0.79</v>
      </c>
      <c r="AE4" s="78">
        <f>'Art. 11'!AF7</f>
        <v>0.781</v>
      </c>
      <c r="AF4" s="78">
        <f>'Art. 11'!AG7</f>
        <v>0.773</v>
      </c>
      <c r="AG4" s="78">
        <f>'Art. 11'!AH7</f>
        <v>0.764</v>
      </c>
      <c r="AH4" s="78">
        <f>'Art. 11'!AI7</f>
        <v>0.756</v>
      </c>
      <c r="AI4" s="78">
        <f>'Art. 11'!AJ7</f>
        <v>0.747</v>
      </c>
      <c r="AJ4" s="78">
        <f>'Art. 11'!AK7</f>
        <v>0.739</v>
      </c>
      <c r="AK4" s="78">
        <f>'Art. 11'!AL7</f>
        <v>0.73</v>
      </c>
      <c r="AL4" s="78">
        <f>'Art. 11'!AM7</f>
        <v>0.721</v>
      </c>
      <c r="AM4" s="78">
        <f>'Art. 11'!AN7</f>
        <v>0.713</v>
      </c>
      <c r="AN4" s="78">
        <f>'Art. 11'!AO7</f>
        <v>0.704</v>
      </c>
      <c r="AO4" s="78">
        <f>'Art. 11'!AP7</f>
        <v>0.695</v>
      </c>
      <c r="AP4" s="78">
        <f>'Art. 11'!AQ7</f>
        <v>0.686</v>
      </c>
      <c r="AQ4" s="78">
        <f>'Art. 11'!AR7</f>
        <v>0.678</v>
      </c>
      <c r="AR4" s="78">
        <f>'Art. 11'!AS7</f>
        <v>0.669</v>
      </c>
      <c r="AS4" s="78">
        <f>'Art. 11'!AT7</f>
        <v>0.66</v>
      </c>
      <c r="AT4" s="78">
        <f>'Art. 11'!AU7</f>
        <v>0.651</v>
      </c>
      <c r="AU4" s="78">
        <f>'Art. 11'!AV7</f>
        <v>0.642</v>
      </c>
      <c r="AV4" s="78">
        <f>'Art. 11'!AW7</f>
        <v>0.633</v>
      </c>
      <c r="AW4" s="78">
        <f>'Art. 11'!AX7</f>
        <v>0.624</v>
      </c>
      <c r="AX4" s="78">
        <f>'Art. 11'!AY7</f>
        <v>0.615</v>
      </c>
      <c r="AY4" s="78">
        <f>'Art. 11'!AZ7</f>
        <v>0.606</v>
      </c>
      <c r="AZ4" s="78">
        <f>'Art. 11'!BA7</f>
        <v>0.597</v>
      </c>
      <c r="BA4" s="78">
        <f>'Art. 11'!BB7</f>
        <v>0.587</v>
      </c>
      <c r="BB4" s="86">
        <f>'Art. 11'!BC7</f>
        <v>0.578</v>
      </c>
      <c r="BC4" s="78"/>
      <c r="BD4" s="78"/>
    </row>
    <row r="5" ht="16.5" customHeight="1">
      <c r="A5" s="78"/>
      <c r="B5" s="78"/>
      <c r="C5" s="85" t="s">
        <v>67</v>
      </c>
      <c r="D5" s="78">
        <f>'Interface +A1'!C17+'Interface +A1'!D17</f>
        <v>-29.58</v>
      </c>
      <c r="E5" s="78">
        <f>'Interface +A1'!$E$17/$M$1</f>
        <v>0</v>
      </c>
      <c r="F5" s="78">
        <f>'Interface +A1'!$E$17/$M$1</f>
        <v>0</v>
      </c>
      <c r="G5" s="78">
        <f>'Interface +A1'!$E$17/$M$1</f>
        <v>0</v>
      </c>
      <c r="H5" s="78">
        <f>'Interface +A1'!$E$17/$M$1</f>
        <v>0</v>
      </c>
      <c r="I5" s="78">
        <f>'Interface +A1'!$E$17/$M$1</f>
        <v>0</v>
      </c>
      <c r="J5" s="78">
        <f>'Interface +A1'!$E$17/$M$1</f>
        <v>0</v>
      </c>
      <c r="K5" s="78">
        <f>'Interface +A1'!$E$17/$M$1</f>
        <v>0</v>
      </c>
      <c r="L5" s="78">
        <f>'Interface +A1'!$E$17/$M$1</f>
        <v>0</v>
      </c>
      <c r="M5" s="78">
        <f>'Interface +A1'!$E$17/$M$1</f>
        <v>0</v>
      </c>
      <c r="N5" s="78">
        <f>'Interface +A1'!$E$17/$M$1</f>
        <v>0</v>
      </c>
      <c r="O5" s="78">
        <f>'Interface +A1'!$E$17/$M$1</f>
        <v>0</v>
      </c>
      <c r="P5" s="78">
        <f>'Interface +A1'!$E$17/$M$1</f>
        <v>0</v>
      </c>
      <c r="Q5" s="78">
        <f>'Interface +A1'!$E$17/$M$1</f>
        <v>0</v>
      </c>
      <c r="R5" s="78">
        <f>'Interface +A1'!$E$17/$M$1</f>
        <v>0</v>
      </c>
      <c r="S5" s="78">
        <f>'Interface +A1'!$E$17/$M$1</f>
        <v>0</v>
      </c>
      <c r="T5" s="78">
        <f>'Interface +A1'!$E$17/$M$1</f>
        <v>0</v>
      </c>
      <c r="U5" s="78">
        <f>'Interface +A1'!$E$17/$M$1</f>
        <v>0</v>
      </c>
      <c r="V5" s="78">
        <f>'Interface +A1'!$E$17/$M$1</f>
        <v>0</v>
      </c>
      <c r="W5" s="78">
        <f>'Interface +A1'!$E$17/$M$1</f>
        <v>0</v>
      </c>
      <c r="X5" s="78">
        <f>'Interface +A1'!$E$17/$M$1</f>
        <v>0</v>
      </c>
      <c r="Y5" s="78">
        <f>'Interface +A1'!$E$17/$M$1</f>
        <v>0</v>
      </c>
      <c r="Z5" s="78">
        <f>'Interface +A1'!$E$17/$M$1</f>
        <v>0</v>
      </c>
      <c r="AA5" s="78">
        <f>'Interface +A1'!$E$17/$M$1</f>
        <v>0</v>
      </c>
      <c r="AB5" s="78">
        <f>'Interface +A1'!$E$17/$M$1</f>
        <v>0</v>
      </c>
      <c r="AC5" s="78">
        <f>'Interface +A1'!$E$17/$M$1</f>
        <v>0</v>
      </c>
      <c r="AD5" s="78">
        <f>'Interface +A1'!$E$17/$M$1</f>
        <v>0</v>
      </c>
      <c r="AE5" s="78">
        <f>'Interface +A1'!$E$17/$M$1</f>
        <v>0</v>
      </c>
      <c r="AF5" s="78">
        <f>'Interface +A1'!$E$17/$M$1</f>
        <v>0</v>
      </c>
      <c r="AG5" s="78">
        <f>'Interface +A1'!$E$17/$M$1</f>
        <v>0</v>
      </c>
      <c r="AH5" s="78">
        <f>'Interface +A1'!$E$17/$M$1</f>
        <v>0</v>
      </c>
      <c r="AI5" s="78">
        <f>'Interface +A1'!$E$17/$M$1</f>
        <v>0</v>
      </c>
      <c r="AJ5" s="78">
        <f>'Interface +A1'!$E$17/$M$1</f>
        <v>0</v>
      </c>
      <c r="AK5" s="78">
        <f>'Interface +A1'!$E$17/$M$1</f>
        <v>0</v>
      </c>
      <c r="AL5" s="78">
        <f>'Interface +A1'!$E$17/$M$1</f>
        <v>0</v>
      </c>
      <c r="AM5" s="78">
        <f>'Interface +A1'!$E$17/$M$1</f>
        <v>0</v>
      </c>
      <c r="AN5" s="78">
        <f>'Interface +A1'!$E$17/$M$1</f>
        <v>0</v>
      </c>
      <c r="AO5" s="78">
        <f>'Interface +A1'!$E$17/$M$1</f>
        <v>0</v>
      </c>
      <c r="AP5" s="78">
        <f>'Interface +A1'!$E$17/$M$1</f>
        <v>0</v>
      </c>
      <c r="AQ5" s="78">
        <f>'Interface +A1'!$E$17/$M$1</f>
        <v>0</v>
      </c>
      <c r="AR5" s="78">
        <f>'Interface +A1'!$E$17/$M$1</f>
        <v>0</v>
      </c>
      <c r="AS5" s="78">
        <f>'Interface +A1'!$E$17/$M$1</f>
        <v>0</v>
      </c>
      <c r="AT5" s="78">
        <f>'Interface +A1'!$E$17/$M$1</f>
        <v>0</v>
      </c>
      <c r="AU5" s="78">
        <f>'Interface +A1'!$E$17/$M$1</f>
        <v>0</v>
      </c>
      <c r="AV5" s="78">
        <f>'Interface +A1'!$E$17/$M$1</f>
        <v>0</v>
      </c>
      <c r="AW5" s="78">
        <f>'Interface +A1'!$E$17/$M$1</f>
        <v>0</v>
      </c>
      <c r="AX5" s="78">
        <f>'Interface +A1'!$E$17/$M$1</f>
        <v>0</v>
      </c>
      <c r="AY5" s="78">
        <f>'Interface +A1'!$E$17/$M$1</f>
        <v>0</v>
      </c>
      <c r="AZ5" s="78">
        <f>'Interface +A1'!$E$17/$M$1</f>
        <v>0</v>
      </c>
      <c r="BA5" s="78">
        <f>'Interface +A1'!$E$17/$M$1</f>
        <v>0</v>
      </c>
      <c r="BB5" s="78">
        <f>('Interface +A1'!$E$17/M1)+'Interface +A1'!F17+'Interface +A1'!H17</f>
        <v>28.55</v>
      </c>
      <c r="BC5" s="78"/>
      <c r="BD5" s="78"/>
    </row>
    <row r="6" ht="16.5" customHeight="1">
      <c r="A6" s="78"/>
      <c r="B6" s="78"/>
      <c r="C6" s="85" t="s">
        <v>68</v>
      </c>
      <c r="D6" s="78">
        <f t="shared" ref="D6:BB6" si="1">D5*D4</f>
        <v>-29.58</v>
      </c>
      <c r="E6" s="78">
        <f t="shared" si="1"/>
        <v>0</v>
      </c>
      <c r="F6" s="78">
        <f t="shared" si="1"/>
        <v>0</v>
      </c>
      <c r="G6" s="78">
        <f t="shared" si="1"/>
        <v>0</v>
      </c>
      <c r="H6" s="78">
        <f t="shared" si="1"/>
        <v>0</v>
      </c>
      <c r="I6" s="78">
        <f t="shared" si="1"/>
        <v>0</v>
      </c>
      <c r="J6" s="78">
        <f t="shared" si="1"/>
        <v>0</v>
      </c>
      <c r="K6" s="78">
        <f t="shared" si="1"/>
        <v>0</v>
      </c>
      <c r="L6" s="78">
        <f t="shared" si="1"/>
        <v>0</v>
      </c>
      <c r="M6" s="78">
        <f t="shared" si="1"/>
        <v>0</v>
      </c>
      <c r="N6" s="78">
        <f t="shared" si="1"/>
        <v>0</v>
      </c>
      <c r="O6" s="78">
        <f t="shared" si="1"/>
        <v>0</v>
      </c>
      <c r="P6" s="78">
        <f t="shared" si="1"/>
        <v>0</v>
      </c>
      <c r="Q6" s="78">
        <f t="shared" si="1"/>
        <v>0</v>
      </c>
      <c r="R6" s="78">
        <f t="shared" si="1"/>
        <v>0</v>
      </c>
      <c r="S6" s="78">
        <f t="shared" si="1"/>
        <v>0</v>
      </c>
      <c r="T6" s="78">
        <f t="shared" si="1"/>
        <v>0</v>
      </c>
      <c r="U6" s="78">
        <f t="shared" si="1"/>
        <v>0</v>
      </c>
      <c r="V6" s="78">
        <f t="shared" si="1"/>
        <v>0</v>
      </c>
      <c r="W6" s="78">
        <f t="shared" si="1"/>
        <v>0</v>
      </c>
      <c r="X6" s="78">
        <f t="shared" si="1"/>
        <v>0</v>
      </c>
      <c r="Y6" s="78">
        <f t="shared" si="1"/>
        <v>0</v>
      </c>
      <c r="Z6" s="78">
        <f t="shared" si="1"/>
        <v>0</v>
      </c>
      <c r="AA6" s="78">
        <f t="shared" si="1"/>
        <v>0</v>
      </c>
      <c r="AB6" s="78">
        <f t="shared" si="1"/>
        <v>0</v>
      </c>
      <c r="AC6" s="78">
        <f t="shared" si="1"/>
        <v>0</v>
      </c>
      <c r="AD6" s="78">
        <f t="shared" si="1"/>
        <v>0</v>
      </c>
      <c r="AE6" s="78">
        <f t="shared" si="1"/>
        <v>0</v>
      </c>
      <c r="AF6" s="78">
        <f t="shared" si="1"/>
        <v>0</v>
      </c>
      <c r="AG6" s="78">
        <f t="shared" si="1"/>
        <v>0</v>
      </c>
      <c r="AH6" s="78">
        <f t="shared" si="1"/>
        <v>0</v>
      </c>
      <c r="AI6" s="78">
        <f t="shared" si="1"/>
        <v>0</v>
      </c>
      <c r="AJ6" s="78">
        <f t="shared" si="1"/>
        <v>0</v>
      </c>
      <c r="AK6" s="78">
        <f t="shared" si="1"/>
        <v>0</v>
      </c>
      <c r="AL6" s="78">
        <f t="shared" si="1"/>
        <v>0</v>
      </c>
      <c r="AM6" s="78">
        <f t="shared" si="1"/>
        <v>0</v>
      </c>
      <c r="AN6" s="78">
        <f t="shared" si="1"/>
        <v>0</v>
      </c>
      <c r="AO6" s="78">
        <f t="shared" si="1"/>
        <v>0</v>
      </c>
      <c r="AP6" s="78">
        <f t="shared" si="1"/>
        <v>0</v>
      </c>
      <c r="AQ6" s="78">
        <f t="shared" si="1"/>
        <v>0</v>
      </c>
      <c r="AR6" s="78">
        <f t="shared" si="1"/>
        <v>0</v>
      </c>
      <c r="AS6" s="78">
        <f t="shared" si="1"/>
        <v>0</v>
      </c>
      <c r="AT6" s="78">
        <f t="shared" si="1"/>
        <v>0</v>
      </c>
      <c r="AU6" s="78">
        <f t="shared" si="1"/>
        <v>0</v>
      </c>
      <c r="AV6" s="78">
        <f t="shared" si="1"/>
        <v>0</v>
      </c>
      <c r="AW6" s="78">
        <f t="shared" si="1"/>
        <v>0</v>
      </c>
      <c r="AX6" s="78">
        <f t="shared" si="1"/>
        <v>0</v>
      </c>
      <c r="AY6" s="78">
        <f t="shared" si="1"/>
        <v>0</v>
      </c>
      <c r="AZ6" s="78">
        <f t="shared" si="1"/>
        <v>0</v>
      </c>
      <c r="BA6" s="78">
        <f t="shared" si="1"/>
        <v>0</v>
      </c>
      <c r="BB6" s="78">
        <f t="shared" si="1"/>
        <v>16.5019</v>
      </c>
      <c r="BC6" s="78"/>
      <c r="BD6" s="78"/>
    </row>
    <row r="7" ht="16.5" customHeight="1">
      <c r="A7" s="78"/>
      <c r="B7" s="78"/>
      <c r="C7" s="85" t="s">
        <v>69</v>
      </c>
      <c r="D7" s="87"/>
      <c r="E7" s="88">
        <f t="shared" ref="E7:BB7" si="2">IF(MOD(E3,$M$1)=0,1,0)</f>
        <v>0</v>
      </c>
      <c r="F7" s="88">
        <f t="shared" si="2"/>
        <v>0</v>
      </c>
      <c r="G7" s="88">
        <f t="shared" si="2"/>
        <v>0</v>
      </c>
      <c r="H7" s="88">
        <f t="shared" si="2"/>
        <v>0</v>
      </c>
      <c r="I7" s="88">
        <f t="shared" si="2"/>
        <v>0</v>
      </c>
      <c r="J7" s="88">
        <f t="shared" si="2"/>
        <v>0</v>
      </c>
      <c r="K7" s="88">
        <f t="shared" si="2"/>
        <v>0</v>
      </c>
      <c r="L7" s="88">
        <f t="shared" si="2"/>
        <v>0</v>
      </c>
      <c r="M7" s="88">
        <f t="shared" si="2"/>
        <v>0</v>
      </c>
      <c r="N7" s="88">
        <f t="shared" si="2"/>
        <v>0</v>
      </c>
      <c r="O7" s="88">
        <f t="shared" si="2"/>
        <v>0</v>
      </c>
      <c r="P7" s="88">
        <f t="shared" si="2"/>
        <v>0</v>
      </c>
      <c r="Q7" s="88">
        <f t="shared" si="2"/>
        <v>0</v>
      </c>
      <c r="R7" s="88">
        <f t="shared" si="2"/>
        <v>0</v>
      </c>
      <c r="S7" s="88">
        <f t="shared" si="2"/>
        <v>0</v>
      </c>
      <c r="T7" s="88">
        <f t="shared" si="2"/>
        <v>0</v>
      </c>
      <c r="U7" s="88">
        <f t="shared" si="2"/>
        <v>0</v>
      </c>
      <c r="V7" s="88">
        <f t="shared" si="2"/>
        <v>0</v>
      </c>
      <c r="W7" s="88">
        <f t="shared" si="2"/>
        <v>0</v>
      </c>
      <c r="X7" s="88">
        <f t="shared" si="2"/>
        <v>0</v>
      </c>
      <c r="Y7" s="88">
        <f t="shared" si="2"/>
        <v>0</v>
      </c>
      <c r="Z7" s="88">
        <f t="shared" si="2"/>
        <v>0</v>
      </c>
      <c r="AA7" s="88">
        <f t="shared" si="2"/>
        <v>0</v>
      </c>
      <c r="AB7" s="88">
        <f t="shared" si="2"/>
        <v>0</v>
      </c>
      <c r="AC7" s="88">
        <f t="shared" si="2"/>
        <v>0</v>
      </c>
      <c r="AD7" s="88">
        <f t="shared" si="2"/>
        <v>0</v>
      </c>
      <c r="AE7" s="88">
        <f t="shared" si="2"/>
        <v>0</v>
      </c>
      <c r="AF7" s="88">
        <f t="shared" si="2"/>
        <v>0</v>
      </c>
      <c r="AG7" s="88">
        <f t="shared" si="2"/>
        <v>0</v>
      </c>
      <c r="AH7" s="88">
        <f t="shared" si="2"/>
        <v>0</v>
      </c>
      <c r="AI7" s="88">
        <f t="shared" si="2"/>
        <v>0</v>
      </c>
      <c r="AJ7" s="88">
        <f t="shared" si="2"/>
        <v>0</v>
      </c>
      <c r="AK7" s="88">
        <f t="shared" si="2"/>
        <v>0</v>
      </c>
      <c r="AL7" s="88">
        <f t="shared" si="2"/>
        <v>0</v>
      </c>
      <c r="AM7" s="88">
        <f t="shared" si="2"/>
        <v>0</v>
      </c>
      <c r="AN7" s="88">
        <f t="shared" si="2"/>
        <v>0</v>
      </c>
      <c r="AO7" s="88">
        <f t="shared" si="2"/>
        <v>0</v>
      </c>
      <c r="AP7" s="88">
        <f t="shared" si="2"/>
        <v>0</v>
      </c>
      <c r="AQ7" s="88">
        <f t="shared" si="2"/>
        <v>0</v>
      </c>
      <c r="AR7" s="88">
        <f t="shared" si="2"/>
        <v>0</v>
      </c>
      <c r="AS7" s="88">
        <f t="shared" si="2"/>
        <v>0</v>
      </c>
      <c r="AT7" s="88">
        <f t="shared" si="2"/>
        <v>0</v>
      </c>
      <c r="AU7" s="88">
        <f t="shared" si="2"/>
        <v>0</v>
      </c>
      <c r="AV7" s="88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8">
        <f t="shared" si="2"/>
        <v>0</v>
      </c>
      <c r="BC7" s="78"/>
      <c r="BD7" s="78"/>
    </row>
    <row r="8" ht="16.5" customHeight="1">
      <c r="A8" s="78"/>
      <c r="B8" s="78"/>
      <c r="C8" s="85" t="s">
        <v>70</v>
      </c>
      <c r="D8" s="87"/>
      <c r="E8" s="89">
        <f t="shared" ref="E8:BB8" si="3">IF($D$1=0,1,IF(MOD(E3,$M$1*$D$1)=0,$G$1,1))</f>
        <v>1</v>
      </c>
      <c r="F8" s="89">
        <f t="shared" si="3"/>
        <v>1</v>
      </c>
      <c r="G8" s="89">
        <f t="shared" si="3"/>
        <v>1</v>
      </c>
      <c r="H8" s="89">
        <f t="shared" si="3"/>
        <v>1</v>
      </c>
      <c r="I8" s="89">
        <f t="shared" si="3"/>
        <v>1</v>
      </c>
      <c r="J8" s="89">
        <f t="shared" si="3"/>
        <v>1</v>
      </c>
      <c r="K8" s="89">
        <f t="shared" si="3"/>
        <v>1</v>
      </c>
      <c r="L8" s="89">
        <f t="shared" si="3"/>
        <v>1</v>
      </c>
      <c r="M8" s="89">
        <f t="shared" si="3"/>
        <v>1</v>
      </c>
      <c r="N8" s="89">
        <f t="shared" si="3"/>
        <v>1</v>
      </c>
      <c r="O8" s="89">
        <f t="shared" si="3"/>
        <v>1</v>
      </c>
      <c r="P8" s="89">
        <f t="shared" si="3"/>
        <v>1</v>
      </c>
      <c r="Q8" s="89">
        <f t="shared" si="3"/>
        <v>1</v>
      </c>
      <c r="R8" s="89">
        <f t="shared" si="3"/>
        <v>1</v>
      </c>
      <c r="S8" s="89">
        <f t="shared" si="3"/>
        <v>1</v>
      </c>
      <c r="T8" s="89">
        <f t="shared" si="3"/>
        <v>1</v>
      </c>
      <c r="U8" s="89">
        <f t="shared" si="3"/>
        <v>1</v>
      </c>
      <c r="V8" s="89">
        <f t="shared" si="3"/>
        <v>1</v>
      </c>
      <c r="W8" s="89">
        <f t="shared" si="3"/>
        <v>1</v>
      </c>
      <c r="X8" s="89">
        <f t="shared" si="3"/>
        <v>1</v>
      </c>
      <c r="Y8" s="89">
        <f t="shared" si="3"/>
        <v>1</v>
      </c>
      <c r="Z8" s="89">
        <f t="shared" si="3"/>
        <v>1</v>
      </c>
      <c r="AA8" s="89">
        <f t="shared" si="3"/>
        <v>1</v>
      </c>
      <c r="AB8" s="89">
        <f t="shared" si="3"/>
        <v>1</v>
      </c>
      <c r="AC8" s="89">
        <f t="shared" si="3"/>
        <v>1</v>
      </c>
      <c r="AD8" s="89">
        <f t="shared" si="3"/>
        <v>1</v>
      </c>
      <c r="AE8" s="89">
        <f t="shared" si="3"/>
        <v>1</v>
      </c>
      <c r="AF8" s="89">
        <f t="shared" si="3"/>
        <v>1</v>
      </c>
      <c r="AG8" s="89">
        <f t="shared" si="3"/>
        <v>1</v>
      </c>
      <c r="AH8" s="89">
        <f t="shared" si="3"/>
        <v>1</v>
      </c>
      <c r="AI8" s="89">
        <f t="shared" si="3"/>
        <v>1</v>
      </c>
      <c r="AJ8" s="89">
        <f t="shared" si="3"/>
        <v>1</v>
      </c>
      <c r="AK8" s="89">
        <f t="shared" si="3"/>
        <v>1</v>
      </c>
      <c r="AL8" s="89">
        <f t="shared" si="3"/>
        <v>1</v>
      </c>
      <c r="AM8" s="89">
        <f t="shared" si="3"/>
        <v>1</v>
      </c>
      <c r="AN8" s="89">
        <f t="shared" si="3"/>
        <v>1</v>
      </c>
      <c r="AO8" s="89">
        <f t="shared" si="3"/>
        <v>1</v>
      </c>
      <c r="AP8" s="89">
        <f t="shared" si="3"/>
        <v>1</v>
      </c>
      <c r="AQ8" s="89">
        <f t="shared" si="3"/>
        <v>1</v>
      </c>
      <c r="AR8" s="89">
        <f t="shared" si="3"/>
        <v>1</v>
      </c>
      <c r="AS8" s="89">
        <f t="shared" si="3"/>
        <v>1</v>
      </c>
      <c r="AT8" s="89">
        <f t="shared" si="3"/>
        <v>1</v>
      </c>
      <c r="AU8" s="89">
        <f t="shared" si="3"/>
        <v>1</v>
      </c>
      <c r="AV8" s="89">
        <f t="shared" si="3"/>
        <v>1</v>
      </c>
      <c r="AW8" s="89">
        <f t="shared" si="3"/>
        <v>1</v>
      </c>
      <c r="AX8" s="89">
        <f t="shared" si="3"/>
        <v>1</v>
      </c>
      <c r="AY8" s="89">
        <f t="shared" si="3"/>
        <v>1</v>
      </c>
      <c r="AZ8" s="89">
        <f t="shared" si="3"/>
        <v>1</v>
      </c>
      <c r="BA8" s="89">
        <f t="shared" si="3"/>
        <v>1</v>
      </c>
      <c r="BB8" s="89">
        <f t="shared" si="3"/>
        <v>1</v>
      </c>
      <c r="BC8" s="78"/>
      <c r="BD8" s="78"/>
    </row>
    <row r="9" ht="16.5" customHeight="1">
      <c r="A9" s="78"/>
      <c r="B9" s="78"/>
      <c r="C9" s="85" t="s">
        <v>67</v>
      </c>
      <c r="D9" s="78">
        <f>D7*('Interface +A1'!$C$17+'Interface +A1'!$D$17+'Interface +A1'!$F$17)</f>
        <v>0</v>
      </c>
      <c r="E9" s="78">
        <f>E7*('Interface +A1'!$C$17+'Interface +A1'!$D$17+'Interface +A1'!$F$17)*E8</f>
        <v>0</v>
      </c>
      <c r="F9" s="78">
        <f>F7*('Interface +A1'!$C$17+'Interface +A1'!$D$17+'Interface +A1'!$F$17)*F8</f>
        <v>0</v>
      </c>
      <c r="G9" s="78">
        <f>G7*('Interface +A1'!$C$17+'Interface +A1'!$D$17+'Interface +A1'!$F$17)*G8</f>
        <v>0</v>
      </c>
      <c r="H9" s="78">
        <f>H7*('Interface +A1'!$C$17+'Interface +A1'!$D$17+'Interface +A1'!$F$17)*H8</f>
        <v>0</v>
      </c>
      <c r="I9" s="78">
        <f>I7*('Interface +A1'!$C$17+'Interface +A1'!$D$17+'Interface +A1'!$F$17)*I8</f>
        <v>0</v>
      </c>
      <c r="J9" s="78">
        <f>J7*('Interface +A1'!$C$17+'Interface +A1'!$D$17+'Interface +A1'!$F$17)*J8</f>
        <v>0</v>
      </c>
      <c r="K9" s="78">
        <f>K7*('Interface +A1'!$C$17+'Interface +A1'!$D$17+'Interface +A1'!$F$17)*K8</f>
        <v>0</v>
      </c>
      <c r="L9" s="78">
        <f>L7*('Interface +A1'!$C$17+'Interface +A1'!$D$17+'Interface +A1'!$F$17)*L8</f>
        <v>0</v>
      </c>
      <c r="M9" s="78">
        <f>M7*('Interface +A1'!$C$17+'Interface +A1'!$D$17+'Interface +A1'!$F$17)*M8</f>
        <v>0</v>
      </c>
      <c r="N9" s="78">
        <f>N7*('Interface +A1'!$C$17+'Interface +A1'!$D$17+'Interface +A1'!$F$17)*N8</f>
        <v>0</v>
      </c>
      <c r="O9" s="78">
        <f>O7*('Interface +A1'!$C$17+'Interface +A1'!$D$17+'Interface +A1'!$F$17)*O8</f>
        <v>0</v>
      </c>
      <c r="P9" s="78">
        <f>P7*('Interface +A1'!$C$17+'Interface +A1'!$D$17+'Interface +A1'!$F$17)*P8</f>
        <v>0</v>
      </c>
      <c r="Q9" s="78">
        <f>Q7*('Interface +A1'!$C$17+'Interface +A1'!$D$17+'Interface +A1'!$F$17)*Q8</f>
        <v>0</v>
      </c>
      <c r="R9" s="78">
        <f>R7*('Interface +A1'!$C$17+'Interface +A1'!$D$17+'Interface +A1'!$F$17)*R8</f>
        <v>0</v>
      </c>
      <c r="S9" s="78">
        <f>S7*('Interface +A1'!$C$17+'Interface +A1'!$D$17+'Interface +A1'!$F$17)*S8</f>
        <v>0</v>
      </c>
      <c r="T9" s="78">
        <f>T7*('Interface +A1'!$C$17+'Interface +A1'!$D$17+'Interface +A1'!$F$17)*T8</f>
        <v>0</v>
      </c>
      <c r="U9" s="78">
        <f>U7*('Interface +A1'!$C$17+'Interface +A1'!$D$17+'Interface +A1'!$F$17)*U8</f>
        <v>0</v>
      </c>
      <c r="V9" s="78">
        <f>V7*('Interface +A1'!$C$17+'Interface +A1'!$D$17+'Interface +A1'!$F$17)*V8</f>
        <v>0</v>
      </c>
      <c r="W9" s="78">
        <f>W7*('Interface +A1'!$C$17+'Interface +A1'!$D$17+'Interface +A1'!$F$17)*W8</f>
        <v>0</v>
      </c>
      <c r="X9" s="78">
        <f>X7*('Interface +A1'!$C$17+'Interface +A1'!$D$17+'Interface +A1'!$F$17)*X8</f>
        <v>0</v>
      </c>
      <c r="Y9" s="78">
        <f>Y7*('Interface +A1'!$C$17+'Interface +A1'!$D$17+'Interface +A1'!$F$17)*Y8</f>
        <v>0</v>
      </c>
      <c r="Z9" s="78">
        <f>Z7*('Interface +A1'!$C$17+'Interface +A1'!$D$17+'Interface +A1'!$F$17)*Z8</f>
        <v>0</v>
      </c>
      <c r="AA9" s="78">
        <f>AA7*('Interface +A1'!$C$17+'Interface +A1'!$D$17+'Interface +A1'!$F$17)*AA8</f>
        <v>0</v>
      </c>
      <c r="AB9" s="78">
        <f>AB7*('Interface +A1'!$C$17+'Interface +A1'!$D$17+'Interface +A1'!$F$17)*AB8</f>
        <v>0</v>
      </c>
      <c r="AC9" s="78">
        <f>AC7*('Interface +A1'!$C$17+'Interface +A1'!$D$17+'Interface +A1'!$F$17)*AC8</f>
        <v>0</v>
      </c>
      <c r="AD9" s="78">
        <f>AD7*('Interface +A1'!$C$17+'Interface +A1'!$D$17+'Interface +A1'!$F$17)*AD8</f>
        <v>0</v>
      </c>
      <c r="AE9" s="78">
        <f>AE7*('Interface +A1'!$C$17+'Interface +A1'!$D$17+'Interface +A1'!$F$17)*AE8</f>
        <v>0</v>
      </c>
      <c r="AF9" s="78">
        <f>AF7*('Interface +A1'!$C$17+'Interface +A1'!$D$17+'Interface +A1'!$F$17)*AF8</f>
        <v>0</v>
      </c>
      <c r="AG9" s="78">
        <f>AG7*('Interface +A1'!$C$17+'Interface +A1'!$D$17+'Interface +A1'!$F$17)*AG8</f>
        <v>0</v>
      </c>
      <c r="AH9" s="78">
        <f>AH7*('Interface +A1'!$C$17+'Interface +A1'!$D$17+'Interface +A1'!$F$17)*AH8</f>
        <v>0</v>
      </c>
      <c r="AI9" s="78">
        <f>AI7*('Interface +A1'!$C$17+'Interface +A1'!$D$17+'Interface +A1'!$F$17)*AI8</f>
        <v>0</v>
      </c>
      <c r="AJ9" s="78">
        <f>AJ7*('Interface +A1'!$C$17+'Interface +A1'!$D$17+'Interface +A1'!$F$17)*AJ8</f>
        <v>0</v>
      </c>
      <c r="AK9" s="78">
        <f>AK7*('Interface +A1'!$C$17+'Interface +A1'!$D$17+'Interface +A1'!$F$17)*AK8</f>
        <v>0</v>
      </c>
      <c r="AL9" s="78">
        <f>AL7*('Interface +A1'!$C$17+'Interface +A1'!$D$17+'Interface +A1'!$F$17)*AL8</f>
        <v>0</v>
      </c>
      <c r="AM9" s="78">
        <f>AM7*('Interface +A1'!$C$17+'Interface +A1'!$D$17+'Interface +A1'!$F$17)*AM8</f>
        <v>0</v>
      </c>
      <c r="AN9" s="78">
        <f>AN7*('Interface +A1'!$C$17+'Interface +A1'!$D$17+'Interface +A1'!$F$17)*AN8</f>
        <v>0</v>
      </c>
      <c r="AO9" s="78">
        <f>AO7*('Interface +A1'!$C$17+'Interface +A1'!$D$17+'Interface +A1'!$F$17)*AO8</f>
        <v>0</v>
      </c>
      <c r="AP9" s="78">
        <f>AP7*('Interface +A1'!$C$17+'Interface +A1'!$D$17+'Interface +A1'!$F$17)*AP8</f>
        <v>0</v>
      </c>
      <c r="AQ9" s="78">
        <f>AQ7*('Interface +A1'!$C$17+'Interface +A1'!$D$17+'Interface +A1'!$F$17)*AQ8</f>
        <v>0</v>
      </c>
      <c r="AR9" s="78">
        <f>AR7*('Interface +A1'!$C$17+'Interface +A1'!$D$17+'Interface +A1'!$F$17)*AR8</f>
        <v>0</v>
      </c>
      <c r="AS9" s="78">
        <f>AS7*('Interface +A1'!$C$17+'Interface +A1'!$D$17+'Interface +A1'!$F$17)*AS8</f>
        <v>0</v>
      </c>
      <c r="AT9" s="78">
        <f>AT7*('Interface +A1'!$C$17+'Interface +A1'!$D$17+'Interface +A1'!$F$17)*AT8</f>
        <v>0</v>
      </c>
      <c r="AU9" s="78">
        <f>AU7*('Interface +A1'!$C$17+'Interface +A1'!$D$17+'Interface +A1'!$F$17)*AU8</f>
        <v>0</v>
      </c>
      <c r="AV9" s="78">
        <f>AV7*('Interface +A1'!$C$17+'Interface +A1'!$D$17+'Interface +A1'!$F$17)*AV8</f>
        <v>0</v>
      </c>
      <c r="AW9" s="78">
        <f>AW7*('Interface +A1'!$C$17+'Interface +A1'!$D$17+'Interface +A1'!$F$17)*AW8</f>
        <v>0</v>
      </c>
      <c r="AX9" s="78">
        <f>AX7*('Interface +A1'!$C$17+'Interface +A1'!$D$17+'Interface +A1'!$F$17)*AX8</f>
        <v>0</v>
      </c>
      <c r="AY9" s="78">
        <f>AY7*('Interface +A1'!$C$17+'Interface +A1'!$D$17+'Interface +A1'!$F$17)*AY8</f>
        <v>0</v>
      </c>
      <c r="AZ9" s="78">
        <f>AZ7*('Interface +A1'!$C$17+'Interface +A1'!$D$17+'Interface +A1'!$F$17)*AZ8</f>
        <v>0</v>
      </c>
      <c r="BA9" s="78">
        <f>BA7*('Interface +A1'!$C$17+'Interface +A1'!$D$17+'Interface +A1'!$F$17)*BA8</f>
        <v>0</v>
      </c>
      <c r="BB9" s="78">
        <f>BB7*('Interface +A1'!$C$17+'Interface +A1'!$D$17+'Interface +A1'!$F$17)*BB8</f>
        <v>0</v>
      </c>
      <c r="BC9" s="78"/>
      <c r="BD9" s="78"/>
    </row>
    <row r="10" ht="16.5" customHeight="1">
      <c r="A10" s="78"/>
      <c r="B10" s="78"/>
      <c r="C10" s="85" t="s">
        <v>68</v>
      </c>
      <c r="D10" s="89">
        <f t="shared" ref="D10:BB10" si="4">D9*D4</f>
        <v>0</v>
      </c>
      <c r="E10" s="89">
        <f t="shared" si="4"/>
        <v>0</v>
      </c>
      <c r="F10" s="89">
        <f t="shared" si="4"/>
        <v>0</v>
      </c>
      <c r="G10" s="89">
        <f t="shared" si="4"/>
        <v>0</v>
      </c>
      <c r="H10" s="89">
        <f t="shared" si="4"/>
        <v>0</v>
      </c>
      <c r="I10" s="89">
        <f t="shared" si="4"/>
        <v>0</v>
      </c>
      <c r="J10" s="89">
        <f t="shared" si="4"/>
        <v>0</v>
      </c>
      <c r="K10" s="89">
        <f t="shared" si="4"/>
        <v>0</v>
      </c>
      <c r="L10" s="89">
        <f t="shared" si="4"/>
        <v>0</v>
      </c>
      <c r="M10" s="89">
        <f t="shared" si="4"/>
        <v>0</v>
      </c>
      <c r="N10" s="89">
        <f t="shared" si="4"/>
        <v>0</v>
      </c>
      <c r="O10" s="89">
        <f t="shared" si="4"/>
        <v>0</v>
      </c>
      <c r="P10" s="89">
        <f t="shared" si="4"/>
        <v>0</v>
      </c>
      <c r="Q10" s="89">
        <f t="shared" si="4"/>
        <v>0</v>
      </c>
      <c r="R10" s="89">
        <f t="shared" si="4"/>
        <v>0</v>
      </c>
      <c r="S10" s="89">
        <f t="shared" si="4"/>
        <v>0</v>
      </c>
      <c r="T10" s="89">
        <f t="shared" si="4"/>
        <v>0</v>
      </c>
      <c r="U10" s="89">
        <f t="shared" si="4"/>
        <v>0</v>
      </c>
      <c r="V10" s="89">
        <f t="shared" si="4"/>
        <v>0</v>
      </c>
      <c r="W10" s="89">
        <f t="shared" si="4"/>
        <v>0</v>
      </c>
      <c r="X10" s="89">
        <f t="shared" si="4"/>
        <v>0</v>
      </c>
      <c r="Y10" s="89">
        <f t="shared" si="4"/>
        <v>0</v>
      </c>
      <c r="Z10" s="89">
        <f t="shared" si="4"/>
        <v>0</v>
      </c>
      <c r="AA10" s="89">
        <f t="shared" si="4"/>
        <v>0</v>
      </c>
      <c r="AB10" s="89">
        <f t="shared" si="4"/>
        <v>0</v>
      </c>
      <c r="AC10" s="89">
        <f t="shared" si="4"/>
        <v>0</v>
      </c>
      <c r="AD10" s="89">
        <f t="shared" si="4"/>
        <v>0</v>
      </c>
      <c r="AE10" s="89">
        <f t="shared" si="4"/>
        <v>0</v>
      </c>
      <c r="AF10" s="89">
        <f t="shared" si="4"/>
        <v>0</v>
      </c>
      <c r="AG10" s="89">
        <f t="shared" si="4"/>
        <v>0</v>
      </c>
      <c r="AH10" s="89">
        <f t="shared" si="4"/>
        <v>0</v>
      </c>
      <c r="AI10" s="89">
        <f t="shared" si="4"/>
        <v>0</v>
      </c>
      <c r="AJ10" s="89">
        <f t="shared" si="4"/>
        <v>0</v>
      </c>
      <c r="AK10" s="89">
        <f t="shared" si="4"/>
        <v>0</v>
      </c>
      <c r="AL10" s="89">
        <f t="shared" si="4"/>
        <v>0</v>
      </c>
      <c r="AM10" s="89">
        <f t="shared" si="4"/>
        <v>0</v>
      </c>
      <c r="AN10" s="89">
        <f t="shared" si="4"/>
        <v>0</v>
      </c>
      <c r="AO10" s="89">
        <f t="shared" si="4"/>
        <v>0</v>
      </c>
      <c r="AP10" s="89">
        <f t="shared" si="4"/>
        <v>0</v>
      </c>
      <c r="AQ10" s="89">
        <f t="shared" si="4"/>
        <v>0</v>
      </c>
      <c r="AR10" s="89">
        <f t="shared" si="4"/>
        <v>0</v>
      </c>
      <c r="AS10" s="89">
        <f t="shared" si="4"/>
        <v>0</v>
      </c>
      <c r="AT10" s="89">
        <f t="shared" si="4"/>
        <v>0</v>
      </c>
      <c r="AU10" s="89">
        <f t="shared" si="4"/>
        <v>0</v>
      </c>
      <c r="AV10" s="89">
        <f t="shared" si="4"/>
        <v>0</v>
      </c>
      <c r="AW10" s="89">
        <f t="shared" si="4"/>
        <v>0</v>
      </c>
      <c r="AX10" s="89">
        <f t="shared" si="4"/>
        <v>0</v>
      </c>
      <c r="AY10" s="89">
        <f t="shared" si="4"/>
        <v>0</v>
      </c>
      <c r="AZ10" s="89">
        <f t="shared" si="4"/>
        <v>0</v>
      </c>
      <c r="BA10" s="89">
        <f t="shared" si="4"/>
        <v>0</v>
      </c>
      <c r="BB10" s="89">
        <f t="shared" si="4"/>
        <v>0</v>
      </c>
      <c r="BC10" s="78"/>
      <c r="BD10" s="90"/>
    </row>
    <row r="11" ht="16.5" customHeight="1">
      <c r="A11" s="78"/>
      <c r="B11" s="91">
        <f t="shared" ref="B11:B12" si="6">SUM(D11:BB11)</f>
        <v>-13.0781</v>
      </c>
      <c r="C11" s="92" t="s">
        <v>58</v>
      </c>
      <c r="D11" s="89">
        <f t="shared" ref="D11:BB11" si="5">D10+D6</f>
        <v>-29.58</v>
      </c>
      <c r="E11" s="89">
        <f t="shared" si="5"/>
        <v>0</v>
      </c>
      <c r="F11" s="89">
        <f t="shared" si="5"/>
        <v>0</v>
      </c>
      <c r="G11" s="89">
        <f t="shared" si="5"/>
        <v>0</v>
      </c>
      <c r="H11" s="89">
        <f t="shared" si="5"/>
        <v>0</v>
      </c>
      <c r="I11" s="89">
        <f t="shared" si="5"/>
        <v>0</v>
      </c>
      <c r="J11" s="89">
        <f t="shared" si="5"/>
        <v>0</v>
      </c>
      <c r="K11" s="89">
        <f t="shared" si="5"/>
        <v>0</v>
      </c>
      <c r="L11" s="89">
        <f t="shared" si="5"/>
        <v>0</v>
      </c>
      <c r="M11" s="89">
        <f t="shared" si="5"/>
        <v>0</v>
      </c>
      <c r="N11" s="89">
        <f t="shared" si="5"/>
        <v>0</v>
      </c>
      <c r="O11" s="89">
        <f t="shared" si="5"/>
        <v>0</v>
      </c>
      <c r="P11" s="89">
        <f t="shared" si="5"/>
        <v>0</v>
      </c>
      <c r="Q11" s="89">
        <f t="shared" si="5"/>
        <v>0</v>
      </c>
      <c r="R11" s="89">
        <f t="shared" si="5"/>
        <v>0</v>
      </c>
      <c r="S11" s="89">
        <f t="shared" si="5"/>
        <v>0</v>
      </c>
      <c r="T11" s="89">
        <f t="shared" si="5"/>
        <v>0</v>
      </c>
      <c r="U11" s="89">
        <f t="shared" si="5"/>
        <v>0</v>
      </c>
      <c r="V11" s="89">
        <f t="shared" si="5"/>
        <v>0</v>
      </c>
      <c r="W11" s="89">
        <f t="shared" si="5"/>
        <v>0</v>
      </c>
      <c r="X11" s="89">
        <f t="shared" si="5"/>
        <v>0</v>
      </c>
      <c r="Y11" s="89">
        <f t="shared" si="5"/>
        <v>0</v>
      </c>
      <c r="Z11" s="89">
        <f t="shared" si="5"/>
        <v>0</v>
      </c>
      <c r="AA11" s="89">
        <f t="shared" si="5"/>
        <v>0</v>
      </c>
      <c r="AB11" s="89">
        <f t="shared" si="5"/>
        <v>0</v>
      </c>
      <c r="AC11" s="89">
        <f t="shared" si="5"/>
        <v>0</v>
      </c>
      <c r="AD11" s="89">
        <f t="shared" si="5"/>
        <v>0</v>
      </c>
      <c r="AE11" s="89">
        <f t="shared" si="5"/>
        <v>0</v>
      </c>
      <c r="AF11" s="89">
        <f t="shared" si="5"/>
        <v>0</v>
      </c>
      <c r="AG11" s="89">
        <f t="shared" si="5"/>
        <v>0</v>
      </c>
      <c r="AH11" s="89">
        <f t="shared" si="5"/>
        <v>0</v>
      </c>
      <c r="AI11" s="89">
        <f t="shared" si="5"/>
        <v>0</v>
      </c>
      <c r="AJ11" s="89">
        <f t="shared" si="5"/>
        <v>0</v>
      </c>
      <c r="AK11" s="89">
        <f t="shared" si="5"/>
        <v>0</v>
      </c>
      <c r="AL11" s="89">
        <f t="shared" si="5"/>
        <v>0</v>
      </c>
      <c r="AM11" s="89">
        <f t="shared" si="5"/>
        <v>0</v>
      </c>
      <c r="AN11" s="89">
        <f t="shared" si="5"/>
        <v>0</v>
      </c>
      <c r="AO11" s="89">
        <f t="shared" si="5"/>
        <v>0</v>
      </c>
      <c r="AP11" s="89">
        <f t="shared" si="5"/>
        <v>0</v>
      </c>
      <c r="AQ11" s="89">
        <f t="shared" si="5"/>
        <v>0</v>
      </c>
      <c r="AR11" s="89">
        <f t="shared" si="5"/>
        <v>0</v>
      </c>
      <c r="AS11" s="89">
        <f t="shared" si="5"/>
        <v>0</v>
      </c>
      <c r="AT11" s="89">
        <f t="shared" si="5"/>
        <v>0</v>
      </c>
      <c r="AU11" s="89">
        <f t="shared" si="5"/>
        <v>0</v>
      </c>
      <c r="AV11" s="89">
        <f t="shared" si="5"/>
        <v>0</v>
      </c>
      <c r="AW11" s="89">
        <f t="shared" si="5"/>
        <v>0</v>
      </c>
      <c r="AX11" s="89">
        <f t="shared" si="5"/>
        <v>0</v>
      </c>
      <c r="AY11" s="89">
        <f t="shared" si="5"/>
        <v>0</v>
      </c>
      <c r="AZ11" s="89">
        <f t="shared" si="5"/>
        <v>0</v>
      </c>
      <c r="BA11" s="89">
        <f t="shared" si="5"/>
        <v>0</v>
      </c>
      <c r="BB11" s="89">
        <f t="shared" si="5"/>
        <v>16.5019</v>
      </c>
      <c r="BC11" s="78"/>
      <c r="BD11" s="90"/>
    </row>
    <row r="12" ht="16.5" customHeight="1">
      <c r="A12" s="78"/>
      <c r="B12" s="88">
        <f t="shared" si="6"/>
        <v>0</v>
      </c>
      <c r="C12" s="85" t="s">
        <v>71</v>
      </c>
      <c r="D12" s="87"/>
      <c r="E12" s="78">
        <f>E7*('Interface +A1'!$H$17)*E8*E4</f>
        <v>0</v>
      </c>
      <c r="F12" s="78">
        <f>F7*('Interface +A1'!$H$17)*F8*F4</f>
        <v>0</v>
      </c>
      <c r="G12" s="78">
        <f>G7*('Interface +A1'!$H$17)*G8*G4</f>
        <v>0</v>
      </c>
      <c r="H12" s="78">
        <f>H7*('Interface +A1'!$H$17)*H8*H4</f>
        <v>0</v>
      </c>
      <c r="I12" s="78">
        <f>I7*('Interface +A1'!$H$17)*I8*I4</f>
        <v>0</v>
      </c>
      <c r="J12" s="78">
        <f>J7*('Interface +A1'!$H$17)*J8*J4</f>
        <v>0</v>
      </c>
      <c r="K12" s="78">
        <f>K7*('Interface +A1'!$H$17)*K8*K4</f>
        <v>0</v>
      </c>
      <c r="L12" s="78">
        <f>L7*('Interface +A1'!$H$17)*L8*L4</f>
        <v>0</v>
      </c>
      <c r="M12" s="78">
        <f>M7*('Interface +A1'!$H$17)*M8*M4</f>
        <v>0</v>
      </c>
      <c r="N12" s="78">
        <f>N7*('Interface +A1'!$H$17)*N8*N4</f>
        <v>0</v>
      </c>
      <c r="O12" s="78">
        <f>O7*('Interface +A1'!$H$17)*O8*O4</f>
        <v>0</v>
      </c>
      <c r="P12" s="78">
        <f>P7*('Interface +A1'!$H$17)*P8*P4</f>
        <v>0</v>
      </c>
      <c r="Q12" s="78">
        <f>Q7*('Interface +A1'!$H$17)*Q8*Q4</f>
        <v>0</v>
      </c>
      <c r="R12" s="78">
        <f>R7*('Interface +A1'!$H$17)*R8*R4</f>
        <v>0</v>
      </c>
      <c r="S12" s="78">
        <f>S7*('Interface +A1'!$H$17)*S8*S4</f>
        <v>0</v>
      </c>
      <c r="T12" s="78">
        <f>T7*('Interface +A1'!$H$17)*T8*T4</f>
        <v>0</v>
      </c>
      <c r="U12" s="78">
        <f>U7*('Interface +A1'!$H$17)*U8*U4</f>
        <v>0</v>
      </c>
      <c r="V12" s="78">
        <f>V7*('Interface +A1'!$H$17)*V8*V4</f>
        <v>0</v>
      </c>
      <c r="W12" s="78">
        <f>W7*('Interface +A1'!$H$17)*W8*W4</f>
        <v>0</v>
      </c>
      <c r="X12" s="78">
        <f>X7*('Interface +A1'!$H$17)*X8*X4</f>
        <v>0</v>
      </c>
      <c r="Y12" s="78">
        <f>Y7*('Interface +A1'!$H$17)*Y8*Y4</f>
        <v>0</v>
      </c>
      <c r="Z12" s="78">
        <f>Z7*('Interface +A1'!$H$17)*Z8*Z4</f>
        <v>0</v>
      </c>
      <c r="AA12" s="78">
        <f>AA7*('Interface +A1'!$H$17)*AA8*AA4</f>
        <v>0</v>
      </c>
      <c r="AB12" s="78">
        <f>AB7*('Interface +A1'!$H$17)*AB8*AB4</f>
        <v>0</v>
      </c>
      <c r="AC12" s="78">
        <f>AC7*('Interface +A1'!$H$17)*AC8*AC4</f>
        <v>0</v>
      </c>
      <c r="AD12" s="78">
        <f>AD7*('Interface +A1'!$H$17)*AD8*AD4</f>
        <v>0</v>
      </c>
      <c r="AE12" s="78">
        <f>AE7*('Interface +A1'!$H$17)*AE8*AE4</f>
        <v>0</v>
      </c>
      <c r="AF12" s="78">
        <f>AF7*('Interface +A1'!$H$17)*AF8*AF4</f>
        <v>0</v>
      </c>
      <c r="AG12" s="78">
        <f>AG7*('Interface +A1'!$H$17)*AG8*AG4</f>
        <v>0</v>
      </c>
      <c r="AH12" s="78">
        <f>AH7*('Interface +A1'!$H$17)*AH8*AH4</f>
        <v>0</v>
      </c>
      <c r="AI12" s="78">
        <f>AI7*('Interface +A1'!$H$17)*AI8*AI4</f>
        <v>0</v>
      </c>
      <c r="AJ12" s="78">
        <f>AJ7*('Interface +A1'!$H$17)*AJ8*AJ4</f>
        <v>0</v>
      </c>
      <c r="AK12" s="78">
        <f>AK7*('Interface +A1'!$H$17)*AK8*AK4</f>
        <v>0</v>
      </c>
      <c r="AL12" s="78">
        <f>AL7*('Interface +A1'!$H$17)*AL8*AL4</f>
        <v>0</v>
      </c>
      <c r="AM12" s="78">
        <f>AM7*('Interface +A1'!$H$17)*AM8*AM4</f>
        <v>0</v>
      </c>
      <c r="AN12" s="78">
        <f>AN7*('Interface +A1'!$H$17)*AN8*AN4</f>
        <v>0</v>
      </c>
      <c r="AO12" s="78">
        <f>AO7*('Interface +A1'!$H$17)*AO8*AO4</f>
        <v>0</v>
      </c>
      <c r="AP12" s="78">
        <f>AP7*('Interface +A1'!$H$17)*AP8*AP4</f>
        <v>0</v>
      </c>
      <c r="AQ12" s="78">
        <f>AQ7*('Interface +A1'!$H$17)*AQ8*AQ4</f>
        <v>0</v>
      </c>
      <c r="AR12" s="78">
        <f>AR7*('Interface +A1'!$H$17)*AR8*AR4</f>
        <v>0</v>
      </c>
      <c r="AS12" s="78">
        <f>AS7*('Interface +A1'!$H$17)*AS8*AS4</f>
        <v>0</v>
      </c>
      <c r="AT12" s="78">
        <f>AT7*('Interface +A1'!$H$17)*AT8*AT4</f>
        <v>0</v>
      </c>
      <c r="AU12" s="78">
        <f>AU7*('Interface +A1'!$H$17)*AU8*AU4</f>
        <v>0</v>
      </c>
      <c r="AV12" s="78">
        <f>AV7*('Interface +A1'!$H$17)*AV8*AV4</f>
        <v>0</v>
      </c>
      <c r="AW12" s="78">
        <f>AW7*('Interface +A1'!$H$17)*AW8*AW4</f>
        <v>0</v>
      </c>
      <c r="AX12" s="78">
        <f>AX7*('Interface +A1'!$H$17)*AX8*AX4</f>
        <v>0</v>
      </c>
      <c r="AY12" s="78">
        <f>AY7*('Interface +A1'!$H$17)*AY8*AY4</f>
        <v>0</v>
      </c>
      <c r="AZ12" s="78">
        <f>AZ7*('Interface +A1'!$H$17)*AZ8*AZ4</f>
        <v>0</v>
      </c>
      <c r="BA12" s="78">
        <f>BA7*('Interface +A1'!$H$17)*BA8*BA4</f>
        <v>0</v>
      </c>
      <c r="BB12" s="78">
        <f>BB7*('Interface +A1'!$H$17)*BB8*BB4</f>
        <v>0</v>
      </c>
      <c r="BC12" s="78"/>
      <c r="BD12" s="90"/>
    </row>
    <row r="13" ht="16.5" customHeight="1">
      <c r="A13" s="78"/>
      <c r="B13" s="91">
        <f>SUM(B11:B12)</f>
        <v>-13.0781</v>
      </c>
      <c r="C13" s="92" t="s">
        <v>72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90"/>
    </row>
    <row r="14" ht="16.5" customHeight="1">
      <c r="A14" s="78"/>
      <c r="B14" s="78"/>
      <c r="C14" s="84" t="s">
        <v>73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84" t="s">
        <v>74</v>
      </c>
      <c r="P14" s="93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90"/>
    </row>
    <row r="15" ht="16.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90"/>
    </row>
    <row r="16" ht="16.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90"/>
    </row>
    <row r="17" ht="16.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</row>
    <row r="18" ht="16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</row>
    <row r="19" ht="16.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</row>
    <row r="20" ht="16.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</row>
    <row r="21" ht="16.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</row>
    <row r="22" ht="16.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</row>
    <row r="23" ht="16.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</row>
    <row r="24" ht="16.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</row>
    <row r="25" ht="16.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</row>
    <row r="26" ht="16.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</row>
    <row r="27" ht="16.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</row>
    <row r="28" ht="16.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</row>
    <row r="29" ht="16.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</row>
    <row r="30" ht="16.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</row>
    <row r="31" ht="16.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</row>
    <row r="32" ht="16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</row>
    <row r="33" ht="16.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</row>
    <row r="34" ht="16.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</row>
    <row r="35" ht="16.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</row>
    <row r="36" ht="16.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85"/>
      <c r="M36" s="78"/>
      <c r="N36" s="78"/>
      <c r="O36" s="78"/>
      <c r="P36" s="78"/>
      <c r="Q36" s="85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</row>
    <row r="37" ht="16.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</row>
    <row r="38" ht="16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</row>
    <row r="39" ht="16.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</row>
    <row r="40" ht="16.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</row>
    <row r="41" ht="16.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94"/>
      <c r="M41" s="78"/>
      <c r="N41" s="78"/>
      <c r="O41" s="78"/>
      <c r="P41" s="78"/>
      <c r="Q41" s="78"/>
      <c r="R41" s="78"/>
      <c r="S41" s="78"/>
      <c r="T41" s="78"/>
      <c r="U41" s="78"/>
      <c r="V41" s="86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</row>
    <row r="42" ht="16.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94"/>
      <c r="M42" s="78"/>
      <c r="N42" s="78"/>
      <c r="O42" s="78"/>
      <c r="P42" s="78"/>
      <c r="Q42" s="78"/>
      <c r="R42" s="78"/>
      <c r="S42" s="78"/>
      <c r="T42" s="78"/>
      <c r="U42" s="78"/>
      <c r="V42" s="86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</row>
    <row r="43" ht="16.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94"/>
      <c r="M43" s="78"/>
      <c r="N43" s="78"/>
      <c r="O43" s="78"/>
      <c r="P43" s="78"/>
      <c r="Q43" s="78"/>
      <c r="R43" s="78"/>
      <c r="S43" s="78"/>
      <c r="T43" s="86"/>
      <c r="U43" s="78"/>
      <c r="V43" s="86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</row>
    <row r="44" ht="16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94"/>
      <c r="M44" s="78"/>
      <c r="N44" s="78"/>
      <c r="O44" s="78"/>
      <c r="P44" s="78"/>
      <c r="Q44" s="78"/>
      <c r="R44" s="78"/>
      <c r="S44" s="78"/>
      <c r="T44" s="78"/>
      <c r="U44" s="78"/>
      <c r="V44" s="86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</row>
    <row r="45" ht="16.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94"/>
      <c r="M45" s="78"/>
      <c r="N45" s="78"/>
      <c r="O45" s="78"/>
      <c r="P45" s="78"/>
      <c r="Q45" s="78"/>
      <c r="R45" s="78"/>
      <c r="S45" s="78"/>
      <c r="T45" s="78"/>
      <c r="U45" s="78"/>
      <c r="V45" s="86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</row>
    <row r="46" ht="16.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94"/>
      <c r="M46" s="78"/>
      <c r="N46" s="78"/>
      <c r="O46" s="78"/>
      <c r="P46" s="78"/>
      <c r="Q46" s="78"/>
      <c r="R46" s="78"/>
      <c r="S46" s="78"/>
      <c r="T46" s="86"/>
      <c r="U46" s="78"/>
      <c r="V46" s="86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</row>
    <row r="47" ht="16.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86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</row>
    <row r="48" ht="16.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</row>
    <row r="49" ht="16.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</row>
    <row r="50" ht="16.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</row>
    <row r="51" ht="16.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</row>
    <row r="52" ht="16.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</row>
    <row r="53" ht="16.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</row>
    <row r="54" ht="16.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</row>
    <row r="55" ht="16.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</row>
    <row r="56" ht="16.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</row>
    <row r="57" ht="16.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</row>
    <row r="58" ht="16.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</row>
    <row r="59" ht="16.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</row>
    <row r="60" ht="16.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</row>
    <row r="61" ht="16.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</row>
    <row r="62" ht="16.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</row>
    <row r="63" ht="16.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</row>
    <row r="64" ht="16.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</row>
    <row r="65" ht="16.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</row>
    <row r="66" ht="16.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</row>
    <row r="67" ht="16.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</row>
    <row r="68" ht="16.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</row>
    <row r="69" ht="16.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</row>
    <row r="70" ht="16.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</row>
    <row r="71" ht="16.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</row>
    <row r="72" ht="16.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</row>
    <row r="73" ht="16.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</row>
    <row r="74" ht="16.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</row>
    <row r="75" ht="16.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</row>
    <row r="76" ht="16.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</row>
    <row r="77" ht="16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</row>
    <row r="78" ht="16.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</row>
    <row r="79" ht="16.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</row>
    <row r="80" ht="16.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</row>
    <row r="81" ht="16.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</row>
    <row r="82" ht="16.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</row>
    <row r="83" ht="16.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</row>
    <row r="84" ht="16.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</row>
    <row r="85" ht="16.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</row>
    <row r="86" ht="16.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</row>
    <row r="87" ht="16.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</row>
    <row r="88" ht="16.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</row>
    <row r="89" ht="16.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</row>
    <row r="90" ht="16.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</row>
    <row r="91" ht="16.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</row>
    <row r="92" ht="16.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</row>
    <row r="93" ht="16.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</row>
    <row r="94" ht="16.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</row>
    <row r="95" ht="16.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</row>
    <row r="96" ht="16.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</row>
    <row r="97" ht="16.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</row>
    <row r="98" ht="16.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</row>
    <row r="99" ht="16.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</row>
    <row r="100" ht="16.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</row>
    <row r="101" ht="16.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</row>
    <row r="102" ht="16.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</row>
    <row r="103" ht="16.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</row>
    <row r="104" ht="16.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</row>
    <row r="105" ht="16.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</row>
    <row r="106" ht="16.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</row>
    <row r="107" ht="16.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</row>
    <row r="108" ht="16.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</row>
    <row r="109" ht="16.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</row>
    <row r="110" ht="16.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</row>
    <row r="111" ht="16.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</row>
    <row r="112" ht="16.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</row>
    <row r="113" ht="16.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</row>
    <row r="114" ht="16.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</row>
    <row r="115" ht="16.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</row>
    <row r="116" ht="16.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</row>
    <row r="117" ht="16.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</row>
    <row r="118" ht="16.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</row>
    <row r="119" ht="16.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</row>
    <row r="120" ht="16.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</row>
    <row r="121" ht="16.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</row>
    <row r="122" ht="16.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</row>
    <row r="123" ht="16.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</row>
    <row r="124" ht="16.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</row>
    <row r="125" ht="16.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</row>
    <row r="126" ht="16.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</row>
    <row r="127" ht="16.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</row>
    <row r="128" ht="16.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</row>
    <row r="129" ht="16.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</row>
    <row r="130" ht="16.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</row>
    <row r="131" ht="16.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</row>
    <row r="132" ht="16.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</row>
    <row r="133" ht="16.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</row>
    <row r="134" ht="16.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</row>
    <row r="135" ht="16.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</row>
    <row r="136" ht="16.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</row>
    <row r="137" ht="16.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</row>
    <row r="138" ht="16.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</row>
    <row r="139" ht="16.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</row>
    <row r="140" ht="16.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</row>
    <row r="141" ht="16.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</row>
    <row r="142" ht="16.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</row>
    <row r="143" ht="16.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</row>
    <row r="144" ht="16.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</row>
    <row r="145" ht="16.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</row>
    <row r="146" ht="16.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</row>
    <row r="147" ht="16.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</row>
    <row r="148" ht="16.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</row>
    <row r="149" ht="16.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</row>
    <row r="150" ht="16.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</row>
    <row r="151" ht="16.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</row>
    <row r="152" ht="16.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</row>
    <row r="153" ht="16.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</row>
    <row r="154" ht="16.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</row>
    <row r="155" ht="16.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</row>
    <row r="156" ht="16.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</row>
    <row r="157" ht="16.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</row>
    <row r="158" ht="16.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</row>
    <row r="159" ht="16.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</row>
    <row r="160" ht="16.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</row>
    <row r="161" ht="16.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</row>
    <row r="162" ht="16.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</row>
    <row r="163" ht="16.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</row>
    <row r="164" ht="16.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</row>
    <row r="165" ht="16.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</row>
    <row r="166" ht="16.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</row>
    <row r="167" ht="16.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</row>
    <row r="168" ht="16.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</row>
    <row r="169" ht="16.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</row>
    <row r="170" ht="16.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</row>
    <row r="171" ht="16.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</row>
    <row r="172" ht="16.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</row>
    <row r="173" ht="16.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</row>
    <row r="174" ht="16.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</row>
    <row r="175" ht="16.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</row>
    <row r="176" ht="16.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</row>
    <row r="177" ht="16.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</row>
    <row r="178" ht="16.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</row>
    <row r="179" ht="16.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</row>
    <row r="180" ht="16.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</row>
    <row r="181" ht="16.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</row>
    <row r="182" ht="16.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</row>
    <row r="183" ht="16.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</row>
    <row r="184" ht="16.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</row>
    <row r="185" ht="16.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</row>
    <row r="186" ht="16.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</row>
    <row r="187" ht="16.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</row>
    <row r="188" ht="16.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</row>
    <row r="189" ht="16.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</row>
    <row r="190" ht="16.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</row>
    <row r="191" ht="16.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</row>
    <row r="192" ht="16.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</row>
    <row r="193" ht="16.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</row>
    <row r="194" ht="16.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</row>
    <row r="195" ht="16.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</row>
    <row r="196" ht="16.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</row>
    <row r="197" ht="16.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</row>
    <row r="198" ht="16.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</row>
    <row r="199" ht="16.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</row>
    <row r="200" ht="16.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</row>
    <row r="201" ht="16.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</row>
    <row r="202" ht="16.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</row>
    <row r="203" ht="16.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</row>
    <row r="204" ht="16.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</row>
    <row r="205" ht="16.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</row>
    <row r="206" ht="16.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</row>
    <row r="207" ht="16.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</row>
    <row r="208" ht="16.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</row>
    <row r="209" ht="16.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</row>
    <row r="210" ht="16.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</row>
    <row r="211" ht="16.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</row>
    <row r="212" ht="16.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</row>
    <row r="213" ht="16.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</row>
    <row r="214" ht="16.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</row>
    <row r="215" ht="16.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</row>
    <row r="216" ht="16.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</row>
    <row r="217" ht="16.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</row>
    <row r="218" ht="16.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</row>
    <row r="219" ht="16.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</row>
    <row r="220" ht="16.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</row>
    <row r="221" ht="16.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</row>
    <row r="222" ht="16.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</row>
    <row r="223" ht="16.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</row>
    <row r="224" ht="16.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</row>
    <row r="225" ht="16.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</row>
    <row r="226" ht="16.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</row>
    <row r="227" ht="16.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</row>
    <row r="228" ht="16.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</row>
    <row r="229" ht="16.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</row>
    <row r="230" ht="16.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</row>
    <row r="231" ht="16.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</row>
    <row r="232" ht="16.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</row>
    <row r="233" ht="16.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</row>
    <row r="234" ht="16.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</row>
    <row r="235" ht="16.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</row>
    <row r="236" ht="16.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</row>
    <row r="237" ht="16.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</row>
    <row r="238" ht="16.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</row>
    <row r="239" ht="16.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</row>
    <row r="240" ht="16.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</row>
    <row r="241" ht="16.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</row>
    <row r="242" ht="16.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</row>
    <row r="243" ht="16.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</row>
    <row r="244" ht="16.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</row>
    <row r="245" ht="16.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</row>
    <row r="246" ht="16.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</row>
    <row r="247" ht="16.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</row>
    <row r="248" ht="16.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</row>
    <row r="249" ht="16.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</row>
    <row r="250" ht="16.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</row>
    <row r="251" ht="16.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</row>
    <row r="252" ht="16.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</row>
    <row r="253" ht="16.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</row>
    <row r="254" ht="16.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</row>
    <row r="255" ht="16.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</row>
    <row r="256" ht="16.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</row>
    <row r="257" ht="16.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</row>
    <row r="258" ht="16.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</row>
    <row r="259" ht="16.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</row>
    <row r="260" ht="16.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</row>
    <row r="261" ht="16.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</row>
    <row r="262" ht="16.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</row>
    <row r="263" ht="16.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</row>
    <row r="264" ht="16.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</row>
    <row r="265" ht="16.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</row>
    <row r="266" ht="16.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</row>
    <row r="267" ht="16.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</row>
    <row r="268" ht="16.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</row>
    <row r="269" ht="16.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</row>
    <row r="270" ht="16.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</row>
    <row r="271" ht="16.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</row>
    <row r="272" ht="16.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</row>
    <row r="273" ht="16.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</row>
    <row r="274" ht="16.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</row>
    <row r="275" ht="16.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</row>
    <row r="276" ht="16.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</row>
    <row r="277" ht="16.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</row>
    <row r="278" ht="16.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</row>
    <row r="279" ht="16.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</row>
    <row r="280" ht="16.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</row>
    <row r="281" ht="16.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</row>
    <row r="282" ht="16.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</row>
    <row r="283" ht="16.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</row>
    <row r="284" ht="16.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</row>
    <row r="285" ht="16.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</row>
    <row r="286" ht="16.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</row>
    <row r="287" ht="16.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</row>
    <row r="288" ht="16.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</row>
    <row r="289" ht="16.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</row>
    <row r="290" ht="16.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</row>
    <row r="291" ht="16.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</row>
    <row r="292" ht="16.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</row>
    <row r="293" ht="16.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</row>
    <row r="294" ht="16.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</row>
    <row r="295" ht="16.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</row>
    <row r="296" ht="16.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</row>
    <row r="297" ht="16.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</row>
    <row r="298" ht="16.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</row>
    <row r="299" ht="16.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</row>
    <row r="300" ht="16.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</row>
    <row r="301" ht="16.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</row>
    <row r="302" ht="16.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</row>
    <row r="303" ht="16.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</row>
    <row r="304" ht="16.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</row>
    <row r="305" ht="16.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</row>
    <row r="306" ht="16.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</row>
    <row r="307" ht="16.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</row>
    <row r="308" ht="16.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</row>
    <row r="309" ht="16.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</row>
    <row r="310" ht="16.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</row>
    <row r="311" ht="16.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</row>
    <row r="312" ht="16.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</row>
    <row r="313" ht="16.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</row>
    <row r="314" ht="16.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</row>
    <row r="315" ht="16.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</row>
    <row r="316" ht="16.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</row>
    <row r="317" ht="16.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</row>
    <row r="318" ht="16.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</row>
    <row r="319" ht="16.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</row>
    <row r="320" ht="16.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</row>
    <row r="321" ht="16.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</row>
    <row r="322" ht="16.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</row>
    <row r="323" ht="16.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</row>
    <row r="324" ht="16.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</row>
    <row r="325" ht="16.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</row>
    <row r="326" ht="16.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</row>
    <row r="327" ht="16.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</row>
    <row r="328" ht="16.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</row>
    <row r="329" ht="16.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</row>
    <row r="330" ht="16.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</row>
    <row r="331" ht="16.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</row>
    <row r="332" ht="16.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</row>
    <row r="333" ht="16.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</row>
    <row r="334" ht="16.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</row>
    <row r="335" ht="16.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</row>
    <row r="336" ht="16.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</row>
    <row r="337" ht="16.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</row>
    <row r="338" ht="16.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</row>
    <row r="339" ht="16.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</row>
    <row r="340" ht="16.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</row>
    <row r="341" ht="16.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</row>
    <row r="342" ht="16.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</row>
    <row r="343" ht="16.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</row>
    <row r="344" ht="16.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</row>
    <row r="345" ht="16.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</row>
    <row r="346" ht="16.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</row>
    <row r="347" ht="16.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</row>
    <row r="348" ht="16.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</row>
    <row r="349" ht="16.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</row>
    <row r="350" ht="16.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</row>
    <row r="351" ht="16.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</row>
    <row r="352" ht="16.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</row>
    <row r="353" ht="16.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</row>
    <row r="354" ht="16.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</row>
    <row r="355" ht="16.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</row>
    <row r="356" ht="16.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</row>
    <row r="357" ht="16.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</row>
    <row r="358" ht="16.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</row>
    <row r="359" ht="16.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</row>
    <row r="360" ht="16.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</row>
    <row r="361" ht="16.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</row>
    <row r="362" ht="16.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</row>
    <row r="363" ht="16.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</row>
    <row r="364" ht="16.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</row>
    <row r="365" ht="16.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</row>
    <row r="366" ht="16.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</row>
    <row r="367" ht="16.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</row>
    <row r="368" ht="16.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</row>
    <row r="369" ht="16.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</row>
    <row r="370" ht="16.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</row>
    <row r="371" ht="16.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</row>
    <row r="372" ht="16.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</row>
    <row r="373" ht="16.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</row>
    <row r="374" ht="16.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</row>
    <row r="375" ht="16.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</row>
    <row r="376" ht="16.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78"/>
      <c r="AZ376" s="78"/>
      <c r="BA376" s="78"/>
      <c r="BB376" s="78"/>
      <c r="BC376" s="78"/>
      <c r="BD376" s="78"/>
    </row>
    <row r="377" ht="16.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78"/>
      <c r="BA377" s="78"/>
      <c r="BB377" s="78"/>
      <c r="BC377" s="78"/>
      <c r="BD377" s="78"/>
    </row>
    <row r="378" ht="16.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</row>
    <row r="379" ht="16.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</row>
    <row r="380" ht="16.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</row>
    <row r="381" ht="16.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</row>
    <row r="382" ht="16.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</row>
    <row r="383" ht="16.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</row>
    <row r="384" ht="16.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</row>
    <row r="385" ht="16.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</row>
    <row r="386" ht="16.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</row>
    <row r="387" ht="16.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</row>
    <row r="388" ht="16.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</row>
    <row r="389" ht="16.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</row>
    <row r="390" ht="16.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</row>
    <row r="391" ht="16.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</row>
    <row r="392" ht="16.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</row>
    <row r="393" ht="16.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</row>
    <row r="394" ht="16.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</row>
    <row r="395" ht="16.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</row>
    <row r="396" ht="16.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</row>
    <row r="397" ht="16.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</row>
    <row r="398" ht="16.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</row>
    <row r="399" ht="16.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</row>
    <row r="400" ht="16.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</row>
    <row r="401" ht="16.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</row>
    <row r="402" ht="16.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</row>
    <row r="403" ht="16.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</row>
    <row r="404" ht="16.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</row>
    <row r="405" ht="16.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</row>
    <row r="406" ht="16.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</row>
    <row r="407" ht="16.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</row>
    <row r="408" ht="16.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</row>
    <row r="409" ht="16.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</row>
    <row r="410" ht="16.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</row>
    <row r="411" ht="16.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</row>
    <row r="412" ht="16.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</row>
    <row r="413" ht="16.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</row>
    <row r="414" ht="16.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</row>
    <row r="415" ht="16.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</row>
    <row r="416" ht="16.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</row>
    <row r="417" ht="16.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</row>
    <row r="418" ht="16.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</row>
    <row r="419" ht="16.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</row>
    <row r="420" ht="16.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</row>
    <row r="421" ht="16.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</row>
    <row r="422" ht="16.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</row>
    <row r="423" ht="16.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</row>
    <row r="424" ht="16.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</row>
    <row r="425" ht="16.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</row>
    <row r="426" ht="16.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</row>
    <row r="427" ht="16.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</row>
    <row r="428" ht="16.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</row>
    <row r="429" ht="16.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</row>
    <row r="430" ht="16.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</row>
    <row r="431" ht="16.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</row>
    <row r="432" ht="16.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</row>
    <row r="433" ht="16.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</row>
    <row r="434" ht="16.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</row>
    <row r="435" ht="16.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</row>
    <row r="436" ht="16.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</row>
    <row r="437" ht="16.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</row>
    <row r="438" ht="16.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</row>
    <row r="439" ht="16.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</row>
    <row r="440" ht="16.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</row>
    <row r="441" ht="16.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</row>
    <row r="442" ht="16.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78"/>
      <c r="AZ442" s="78"/>
      <c r="BA442" s="78"/>
      <c r="BB442" s="78"/>
      <c r="BC442" s="78"/>
      <c r="BD442" s="78"/>
    </row>
    <row r="443" ht="16.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</row>
    <row r="444" ht="16.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78"/>
      <c r="AZ444" s="78"/>
      <c r="BA444" s="78"/>
      <c r="BB444" s="78"/>
      <c r="BC444" s="78"/>
      <c r="BD444" s="78"/>
    </row>
    <row r="445" ht="16.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78"/>
      <c r="AZ445" s="78"/>
      <c r="BA445" s="78"/>
      <c r="BB445" s="78"/>
      <c r="BC445" s="78"/>
      <c r="BD445" s="78"/>
    </row>
    <row r="446" ht="16.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</row>
    <row r="447" ht="16.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</row>
    <row r="448" ht="16.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</row>
    <row r="449" ht="16.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78"/>
      <c r="AZ449" s="78"/>
      <c r="BA449" s="78"/>
      <c r="BB449" s="78"/>
      <c r="BC449" s="78"/>
      <c r="BD449" s="78"/>
    </row>
    <row r="450" ht="16.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78"/>
      <c r="AZ450" s="78"/>
      <c r="BA450" s="78"/>
      <c r="BB450" s="78"/>
      <c r="BC450" s="78"/>
      <c r="BD450" s="78"/>
    </row>
    <row r="451" ht="16.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78"/>
      <c r="AZ451" s="78"/>
      <c r="BA451" s="78"/>
      <c r="BB451" s="78"/>
      <c r="BC451" s="78"/>
      <c r="BD451" s="78"/>
    </row>
    <row r="452" ht="16.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</row>
    <row r="453" ht="16.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</row>
    <row r="454" ht="16.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</row>
    <row r="455" ht="16.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</row>
    <row r="456" ht="16.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</row>
    <row r="457" ht="16.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</row>
    <row r="458" ht="16.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</row>
    <row r="459" ht="16.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</row>
    <row r="460" ht="16.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</row>
    <row r="461" ht="16.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</row>
    <row r="462" ht="16.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</row>
    <row r="463" ht="16.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78"/>
      <c r="AZ463" s="78"/>
      <c r="BA463" s="78"/>
      <c r="BB463" s="78"/>
      <c r="BC463" s="78"/>
      <c r="BD463" s="78"/>
    </row>
    <row r="464" ht="16.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</row>
    <row r="465" ht="16.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</row>
    <row r="466" ht="16.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78"/>
      <c r="AZ466" s="78"/>
      <c r="BA466" s="78"/>
      <c r="BB466" s="78"/>
      <c r="BC466" s="78"/>
      <c r="BD466" s="78"/>
    </row>
    <row r="467" ht="16.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/>
      <c r="AZ467" s="78"/>
      <c r="BA467" s="78"/>
      <c r="BB467" s="78"/>
      <c r="BC467" s="78"/>
      <c r="BD467" s="78"/>
    </row>
    <row r="468" ht="16.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</row>
    <row r="469" ht="16.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78"/>
      <c r="AZ469" s="78"/>
      <c r="BA469" s="78"/>
      <c r="BB469" s="78"/>
      <c r="BC469" s="78"/>
      <c r="BD469" s="78"/>
    </row>
    <row r="470" ht="16.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78"/>
      <c r="AZ470" s="78"/>
      <c r="BA470" s="78"/>
      <c r="BB470" s="78"/>
      <c r="BC470" s="78"/>
      <c r="BD470" s="78"/>
    </row>
    <row r="471" ht="16.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  <c r="AZ471" s="78"/>
      <c r="BA471" s="78"/>
      <c r="BB471" s="78"/>
      <c r="BC471" s="78"/>
      <c r="BD471" s="78"/>
    </row>
    <row r="472" ht="16.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/>
      <c r="BA472" s="78"/>
      <c r="BB472" s="78"/>
      <c r="BC472" s="78"/>
      <c r="BD472" s="78"/>
    </row>
    <row r="473" ht="16.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  <c r="AZ473" s="78"/>
      <c r="BA473" s="78"/>
      <c r="BB473" s="78"/>
      <c r="BC473" s="78"/>
      <c r="BD473" s="78"/>
    </row>
    <row r="474" ht="16.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  <c r="AZ474" s="78"/>
      <c r="BA474" s="78"/>
      <c r="BB474" s="78"/>
      <c r="BC474" s="78"/>
      <c r="BD474" s="78"/>
    </row>
    <row r="475" ht="16.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  <c r="AZ475" s="78"/>
      <c r="BA475" s="78"/>
      <c r="BB475" s="78"/>
      <c r="BC475" s="78"/>
      <c r="BD475" s="78"/>
    </row>
    <row r="476" ht="16.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</row>
    <row r="477" ht="16.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/>
      <c r="BA477" s="78"/>
      <c r="BB477" s="78"/>
      <c r="BC477" s="78"/>
      <c r="BD477" s="78"/>
    </row>
    <row r="478" ht="16.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  <c r="AZ478" s="78"/>
      <c r="BA478" s="78"/>
      <c r="BB478" s="78"/>
      <c r="BC478" s="78"/>
      <c r="BD478" s="78"/>
    </row>
    <row r="479" ht="16.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  <c r="AZ479" s="78"/>
      <c r="BA479" s="78"/>
      <c r="BB479" s="78"/>
      <c r="BC479" s="78"/>
      <c r="BD479" s="78"/>
    </row>
    <row r="480" ht="16.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  <c r="AZ480" s="78"/>
      <c r="BA480" s="78"/>
      <c r="BB480" s="78"/>
      <c r="BC480" s="78"/>
      <c r="BD480" s="78"/>
    </row>
    <row r="481" ht="16.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  <c r="BD481" s="78"/>
    </row>
    <row r="482" ht="16.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/>
      <c r="BB482" s="78"/>
      <c r="BC482" s="78"/>
      <c r="BD482" s="78"/>
    </row>
    <row r="483" ht="16.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</row>
    <row r="484" ht="16.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  <c r="AZ484" s="78"/>
      <c r="BA484" s="78"/>
      <c r="BB484" s="78"/>
      <c r="BC484" s="78"/>
      <c r="BD484" s="78"/>
    </row>
    <row r="485" ht="16.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</row>
    <row r="486" ht="16.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78"/>
      <c r="AZ486" s="78"/>
      <c r="BA486" s="78"/>
      <c r="BB486" s="78"/>
      <c r="BC486" s="78"/>
      <c r="BD486" s="78"/>
    </row>
    <row r="487" ht="16.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  <c r="AZ487" s="78"/>
      <c r="BA487" s="78"/>
      <c r="BB487" s="78"/>
      <c r="BC487" s="78"/>
      <c r="BD487" s="78"/>
    </row>
    <row r="488" ht="16.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  <c r="AZ488" s="78"/>
      <c r="BA488" s="78"/>
      <c r="BB488" s="78"/>
      <c r="BC488" s="78"/>
      <c r="BD488" s="78"/>
    </row>
    <row r="489" ht="16.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78"/>
      <c r="AZ489" s="78"/>
      <c r="BA489" s="78"/>
      <c r="BB489" s="78"/>
      <c r="BC489" s="78"/>
      <c r="BD489" s="78"/>
    </row>
    <row r="490" ht="16.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  <c r="AZ490" s="78"/>
      <c r="BA490" s="78"/>
      <c r="BB490" s="78"/>
      <c r="BC490" s="78"/>
      <c r="BD490" s="78"/>
    </row>
    <row r="491" ht="16.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  <c r="AZ491" s="78"/>
      <c r="BA491" s="78"/>
      <c r="BB491" s="78"/>
      <c r="BC491" s="78"/>
      <c r="BD491" s="78"/>
    </row>
    <row r="492" ht="16.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/>
      <c r="BC492" s="78"/>
      <c r="BD492" s="78"/>
    </row>
    <row r="493" ht="16.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</row>
    <row r="494" ht="16.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  <c r="AZ494" s="78"/>
      <c r="BA494" s="78"/>
      <c r="BB494" s="78"/>
      <c r="BC494" s="78"/>
      <c r="BD494" s="78"/>
    </row>
    <row r="495" ht="16.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</row>
    <row r="496" ht="16.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  <c r="AZ496" s="78"/>
      <c r="BA496" s="78"/>
      <c r="BB496" s="78"/>
      <c r="BC496" s="78"/>
      <c r="BD496" s="78"/>
    </row>
    <row r="497" ht="16.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</row>
    <row r="498" ht="16.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  <c r="AZ498" s="78"/>
      <c r="BA498" s="78"/>
      <c r="BB498" s="78"/>
      <c r="BC498" s="78"/>
      <c r="BD498" s="78"/>
    </row>
    <row r="499" ht="16.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  <c r="AZ499" s="78"/>
      <c r="BA499" s="78"/>
      <c r="BB499" s="78"/>
      <c r="BC499" s="78"/>
      <c r="BD499" s="78"/>
    </row>
    <row r="500" ht="16.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  <c r="AZ500" s="78"/>
      <c r="BA500" s="78"/>
      <c r="BB500" s="78"/>
      <c r="BC500" s="78"/>
      <c r="BD500" s="78"/>
    </row>
    <row r="501" ht="16.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  <c r="AZ501" s="78"/>
      <c r="BA501" s="78"/>
      <c r="BB501" s="78"/>
      <c r="BC501" s="78"/>
      <c r="BD501" s="78"/>
    </row>
    <row r="502" ht="16.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/>
      <c r="BD502" s="78"/>
    </row>
    <row r="503" ht="16.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78"/>
      <c r="AZ503" s="78"/>
      <c r="BA503" s="78"/>
      <c r="BB503" s="78"/>
      <c r="BC503" s="78"/>
      <c r="BD503" s="78"/>
    </row>
    <row r="504" ht="16.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  <c r="AZ504" s="78"/>
      <c r="BA504" s="78"/>
      <c r="BB504" s="78"/>
      <c r="BC504" s="78"/>
      <c r="BD504" s="78"/>
    </row>
    <row r="505" ht="16.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78"/>
      <c r="AZ505" s="78"/>
      <c r="BA505" s="78"/>
      <c r="BB505" s="78"/>
      <c r="BC505" s="78"/>
      <c r="BD505" s="78"/>
    </row>
    <row r="506" ht="16.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78"/>
      <c r="AZ506" s="78"/>
      <c r="BA506" s="78"/>
      <c r="BB506" s="78"/>
      <c r="BC506" s="78"/>
      <c r="BD506" s="78"/>
    </row>
    <row r="507" ht="16.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  <c r="AZ507" s="78"/>
      <c r="BA507" s="78"/>
      <c r="BB507" s="78"/>
      <c r="BC507" s="78"/>
      <c r="BD507" s="78"/>
    </row>
    <row r="508" ht="16.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78"/>
      <c r="AZ508" s="78"/>
      <c r="BA508" s="78"/>
      <c r="BB508" s="78"/>
      <c r="BC508" s="78"/>
      <c r="BD508" s="78"/>
    </row>
    <row r="509" ht="16.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78"/>
      <c r="AZ509" s="78"/>
      <c r="BA509" s="78"/>
      <c r="BB509" s="78"/>
      <c r="BC509" s="78"/>
      <c r="BD509" s="78"/>
    </row>
    <row r="510" ht="16.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78"/>
      <c r="AZ510" s="78"/>
      <c r="BA510" s="78"/>
      <c r="BB510" s="78"/>
      <c r="BC510" s="78"/>
      <c r="BD510" s="78"/>
    </row>
    <row r="511" ht="16.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78"/>
      <c r="AZ511" s="78"/>
      <c r="BA511" s="78"/>
      <c r="BB511" s="78"/>
      <c r="BC511" s="78"/>
      <c r="BD511" s="78"/>
    </row>
    <row r="512" ht="16.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/>
    </row>
    <row r="513" ht="16.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78"/>
      <c r="AZ513" s="78"/>
      <c r="BA513" s="78"/>
      <c r="BB513" s="78"/>
      <c r="BC513" s="78"/>
      <c r="BD513" s="78"/>
    </row>
    <row r="514" ht="16.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78"/>
      <c r="AZ514" s="78"/>
      <c r="BA514" s="78"/>
      <c r="BB514" s="78"/>
      <c r="BC514" s="78"/>
      <c r="BD514" s="78"/>
    </row>
    <row r="515" ht="16.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78"/>
      <c r="AZ515" s="78"/>
      <c r="BA515" s="78"/>
      <c r="BB515" s="78"/>
      <c r="BC515" s="78"/>
      <c r="BD515" s="78"/>
    </row>
    <row r="516" ht="16.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78"/>
      <c r="AZ516" s="78"/>
      <c r="BA516" s="78"/>
      <c r="BB516" s="78"/>
      <c r="BC516" s="78"/>
      <c r="BD516" s="78"/>
    </row>
    <row r="517" ht="16.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/>
    </row>
    <row r="518" ht="16.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78"/>
      <c r="AZ518" s="78"/>
      <c r="BA518" s="78"/>
      <c r="BB518" s="78"/>
      <c r="BC518" s="78"/>
      <c r="BD518" s="78"/>
    </row>
    <row r="519" ht="16.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78"/>
      <c r="AZ519" s="78"/>
      <c r="BA519" s="78"/>
      <c r="BB519" s="78"/>
      <c r="BC519" s="78"/>
      <c r="BD519" s="78"/>
    </row>
    <row r="520" ht="16.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78"/>
      <c r="AZ520" s="78"/>
      <c r="BA520" s="78"/>
      <c r="BB520" s="78"/>
      <c r="BC520" s="78"/>
      <c r="BD520" s="78"/>
    </row>
    <row r="521" ht="16.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  <c r="BD521" s="78"/>
    </row>
    <row r="522" ht="16.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78"/>
      <c r="AZ522" s="78"/>
      <c r="BA522" s="78"/>
      <c r="BB522" s="78"/>
      <c r="BC522" s="78"/>
      <c r="BD522" s="78"/>
    </row>
    <row r="523" ht="16.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</row>
    <row r="524" ht="16.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78"/>
      <c r="AZ524" s="78"/>
      <c r="BA524" s="78"/>
      <c r="BB524" s="78"/>
      <c r="BC524" s="78"/>
      <c r="BD524" s="78"/>
    </row>
    <row r="525" ht="16.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78"/>
      <c r="AZ525" s="78"/>
      <c r="BA525" s="78"/>
      <c r="BB525" s="78"/>
      <c r="BC525" s="78"/>
      <c r="BD525" s="78"/>
    </row>
    <row r="526" ht="16.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78"/>
      <c r="AZ526" s="78"/>
      <c r="BA526" s="78"/>
      <c r="BB526" s="78"/>
      <c r="BC526" s="78"/>
      <c r="BD526" s="78"/>
    </row>
    <row r="527" ht="16.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78"/>
      <c r="AZ527" s="78"/>
      <c r="BA527" s="78"/>
      <c r="BB527" s="78"/>
      <c r="BC527" s="78"/>
      <c r="BD527" s="78"/>
    </row>
    <row r="528" ht="16.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78"/>
      <c r="AZ528" s="78"/>
      <c r="BA528" s="78"/>
      <c r="BB528" s="78"/>
      <c r="BC528" s="78"/>
      <c r="BD528" s="78"/>
    </row>
    <row r="529" ht="16.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78"/>
      <c r="AZ529" s="78"/>
      <c r="BA529" s="78"/>
      <c r="BB529" s="78"/>
      <c r="BC529" s="78"/>
      <c r="BD529" s="78"/>
    </row>
    <row r="530" ht="16.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78"/>
      <c r="AZ530" s="78"/>
      <c r="BA530" s="78"/>
      <c r="BB530" s="78"/>
      <c r="BC530" s="78"/>
      <c r="BD530" s="78"/>
    </row>
    <row r="531" ht="16.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78"/>
      <c r="AZ531" s="78"/>
      <c r="BA531" s="78"/>
      <c r="BB531" s="78"/>
      <c r="BC531" s="78"/>
      <c r="BD531" s="78"/>
    </row>
    <row r="532" ht="16.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</row>
    <row r="533" ht="16.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78"/>
      <c r="AZ533" s="78"/>
      <c r="BA533" s="78"/>
      <c r="BB533" s="78"/>
      <c r="BC533" s="78"/>
      <c r="BD533" s="78"/>
    </row>
    <row r="534" ht="16.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78"/>
      <c r="AZ534" s="78"/>
      <c r="BA534" s="78"/>
      <c r="BB534" s="78"/>
      <c r="BC534" s="78"/>
      <c r="BD534" s="78"/>
    </row>
    <row r="535" ht="16.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</row>
    <row r="536" ht="16.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78"/>
      <c r="AZ536" s="78"/>
      <c r="BA536" s="78"/>
      <c r="BB536" s="78"/>
      <c r="BC536" s="78"/>
      <c r="BD536" s="78"/>
    </row>
    <row r="537" ht="16.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</row>
    <row r="538" ht="16.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78"/>
      <c r="AZ538" s="78"/>
      <c r="BA538" s="78"/>
      <c r="BB538" s="78"/>
      <c r="BC538" s="78"/>
      <c r="BD538" s="78"/>
    </row>
    <row r="539" ht="16.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</row>
    <row r="540" ht="16.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78"/>
      <c r="AZ540" s="78"/>
      <c r="BA540" s="78"/>
      <c r="BB540" s="78"/>
      <c r="BC540" s="78"/>
      <c r="BD540" s="78"/>
    </row>
    <row r="541" ht="16.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</row>
    <row r="542" ht="16.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</row>
    <row r="543" ht="16.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78"/>
      <c r="AZ543" s="78"/>
      <c r="BA543" s="78"/>
      <c r="BB543" s="78"/>
      <c r="BC543" s="78"/>
      <c r="BD543" s="78"/>
    </row>
    <row r="544" ht="16.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78"/>
      <c r="AZ544" s="78"/>
      <c r="BA544" s="78"/>
      <c r="BB544" s="78"/>
      <c r="BC544" s="78"/>
      <c r="BD544" s="78"/>
    </row>
    <row r="545" ht="16.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</row>
    <row r="546" ht="16.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</row>
    <row r="547" ht="16.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</row>
    <row r="548" ht="16.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78"/>
      <c r="AZ548" s="78"/>
      <c r="BA548" s="78"/>
      <c r="BB548" s="78"/>
      <c r="BC548" s="78"/>
      <c r="BD548" s="78"/>
    </row>
    <row r="549" ht="16.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78"/>
      <c r="AZ549" s="78"/>
      <c r="BA549" s="78"/>
      <c r="BB549" s="78"/>
      <c r="BC549" s="78"/>
      <c r="BD549" s="78"/>
    </row>
    <row r="550" ht="16.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78"/>
      <c r="AZ550" s="78"/>
      <c r="BA550" s="78"/>
      <c r="BB550" s="78"/>
      <c r="BC550" s="78"/>
      <c r="BD550" s="78"/>
    </row>
    <row r="551" ht="16.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78"/>
      <c r="AZ551" s="78"/>
      <c r="BA551" s="78"/>
      <c r="BB551" s="78"/>
      <c r="BC551" s="78"/>
      <c r="BD551" s="78"/>
    </row>
    <row r="552" ht="16.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</row>
    <row r="553" ht="16.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78"/>
      <c r="AZ553" s="78"/>
      <c r="BA553" s="78"/>
      <c r="BB553" s="78"/>
      <c r="BC553" s="78"/>
      <c r="BD553" s="78"/>
    </row>
    <row r="554" ht="16.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78"/>
      <c r="AZ554" s="78"/>
      <c r="BA554" s="78"/>
      <c r="BB554" s="78"/>
      <c r="BC554" s="78"/>
      <c r="BD554" s="78"/>
    </row>
    <row r="555" ht="16.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78"/>
      <c r="AZ555" s="78"/>
      <c r="BA555" s="78"/>
      <c r="BB555" s="78"/>
      <c r="BC555" s="78"/>
      <c r="BD555" s="78"/>
    </row>
    <row r="556" ht="16.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</row>
    <row r="557" ht="16.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</row>
    <row r="558" ht="16.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</row>
    <row r="559" ht="16.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78"/>
      <c r="AZ559" s="78"/>
      <c r="BA559" s="78"/>
      <c r="BB559" s="78"/>
      <c r="BC559" s="78"/>
      <c r="BD559" s="78"/>
    </row>
    <row r="560" ht="16.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78"/>
      <c r="AZ560" s="78"/>
      <c r="BA560" s="78"/>
      <c r="BB560" s="78"/>
      <c r="BC560" s="78"/>
      <c r="BD560" s="78"/>
    </row>
    <row r="561" ht="16.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  <c r="BD561" s="78"/>
    </row>
    <row r="562" ht="16.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</row>
    <row r="563" ht="16.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</row>
    <row r="564" ht="16.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78"/>
      <c r="AZ564" s="78"/>
      <c r="BA564" s="78"/>
      <c r="BB564" s="78"/>
      <c r="BC564" s="78"/>
      <c r="BD564" s="78"/>
    </row>
    <row r="565" ht="16.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78"/>
      <c r="AZ565" s="78"/>
      <c r="BA565" s="78"/>
      <c r="BB565" s="78"/>
      <c r="BC565" s="78"/>
      <c r="BD565" s="78"/>
    </row>
    <row r="566" ht="16.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78"/>
      <c r="AZ566" s="78"/>
      <c r="BA566" s="78"/>
      <c r="BB566" s="78"/>
      <c r="BC566" s="78"/>
      <c r="BD566" s="78"/>
    </row>
    <row r="567" ht="16.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78"/>
      <c r="AZ567" s="78"/>
      <c r="BA567" s="78"/>
      <c r="BB567" s="78"/>
      <c r="BC567" s="78"/>
      <c r="BD567" s="78"/>
    </row>
    <row r="568" ht="16.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78"/>
      <c r="AZ568" s="78"/>
      <c r="BA568" s="78"/>
      <c r="BB568" s="78"/>
      <c r="BC568" s="78"/>
      <c r="BD568" s="78"/>
    </row>
    <row r="569" ht="16.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78"/>
      <c r="AZ569" s="78"/>
      <c r="BA569" s="78"/>
      <c r="BB569" s="78"/>
      <c r="BC569" s="78"/>
      <c r="BD569" s="78"/>
    </row>
    <row r="570" ht="16.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78"/>
      <c r="AZ570" s="78"/>
      <c r="BA570" s="78"/>
      <c r="BB570" s="78"/>
      <c r="BC570" s="78"/>
      <c r="BD570" s="78"/>
    </row>
    <row r="571" ht="16.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78"/>
      <c r="AZ571" s="78"/>
      <c r="BA571" s="78"/>
      <c r="BB571" s="78"/>
      <c r="BC571" s="78"/>
      <c r="BD571" s="78"/>
    </row>
    <row r="572" ht="16.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78"/>
      <c r="AZ572" s="78"/>
      <c r="BA572" s="78"/>
      <c r="BB572" s="78"/>
      <c r="BC572" s="78"/>
      <c r="BD572" s="78"/>
    </row>
    <row r="573" ht="16.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78"/>
      <c r="AZ573" s="78"/>
      <c r="BA573" s="78"/>
      <c r="BB573" s="78"/>
      <c r="BC573" s="78"/>
      <c r="BD573" s="78"/>
    </row>
    <row r="574" ht="16.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78"/>
      <c r="AZ574" s="78"/>
      <c r="BA574" s="78"/>
      <c r="BB574" s="78"/>
      <c r="BC574" s="78"/>
      <c r="BD574" s="78"/>
    </row>
    <row r="575" ht="16.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78"/>
      <c r="AZ575" s="78"/>
      <c r="BA575" s="78"/>
      <c r="BB575" s="78"/>
      <c r="BC575" s="78"/>
      <c r="BD575" s="78"/>
    </row>
    <row r="576" ht="16.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78"/>
      <c r="AZ576" s="78"/>
      <c r="BA576" s="78"/>
      <c r="BB576" s="78"/>
      <c r="BC576" s="78"/>
      <c r="BD576" s="78"/>
    </row>
    <row r="577" ht="16.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</row>
    <row r="578" ht="16.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78"/>
      <c r="AZ578" s="78"/>
      <c r="BA578" s="78"/>
      <c r="BB578" s="78"/>
      <c r="BC578" s="78"/>
      <c r="BD578" s="78"/>
    </row>
    <row r="579" ht="16.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78"/>
      <c r="AZ579" s="78"/>
      <c r="BA579" s="78"/>
      <c r="BB579" s="78"/>
      <c r="BC579" s="78"/>
      <c r="BD579" s="78"/>
    </row>
    <row r="580" ht="16.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78"/>
      <c r="AZ580" s="78"/>
      <c r="BA580" s="78"/>
      <c r="BB580" s="78"/>
      <c r="BC580" s="78"/>
      <c r="BD580" s="78"/>
    </row>
    <row r="581" ht="16.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78"/>
      <c r="AZ581" s="78"/>
      <c r="BA581" s="78"/>
      <c r="BB581" s="78"/>
      <c r="BC581" s="78"/>
      <c r="BD581" s="78"/>
    </row>
    <row r="582" ht="16.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</row>
    <row r="583" ht="16.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78"/>
      <c r="AZ583" s="78"/>
      <c r="BA583" s="78"/>
      <c r="BB583" s="78"/>
      <c r="BC583" s="78"/>
      <c r="BD583" s="78"/>
    </row>
    <row r="584" ht="16.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78"/>
      <c r="AZ584" s="78"/>
      <c r="BA584" s="78"/>
      <c r="BB584" s="78"/>
      <c r="BC584" s="78"/>
      <c r="BD584" s="78"/>
    </row>
    <row r="585" ht="16.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78"/>
      <c r="AZ585" s="78"/>
      <c r="BA585" s="78"/>
      <c r="BB585" s="78"/>
      <c r="BC585" s="78"/>
      <c r="BD585" s="78"/>
    </row>
    <row r="586" ht="16.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78"/>
      <c r="AZ586" s="78"/>
      <c r="BA586" s="78"/>
      <c r="BB586" s="78"/>
      <c r="BC586" s="78"/>
      <c r="BD586" s="78"/>
    </row>
    <row r="587" ht="16.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</row>
    <row r="588" ht="16.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78"/>
      <c r="AZ588" s="78"/>
      <c r="BA588" s="78"/>
      <c r="BB588" s="78"/>
      <c r="BC588" s="78"/>
      <c r="BD588" s="78"/>
    </row>
    <row r="589" ht="16.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78"/>
      <c r="AZ589" s="78"/>
      <c r="BA589" s="78"/>
      <c r="BB589" s="78"/>
      <c r="BC589" s="78"/>
      <c r="BD589" s="78"/>
    </row>
    <row r="590" ht="16.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78"/>
      <c r="AZ590" s="78"/>
      <c r="BA590" s="78"/>
      <c r="BB590" s="78"/>
      <c r="BC590" s="78"/>
      <c r="BD590" s="78"/>
    </row>
    <row r="591" ht="16.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78"/>
      <c r="AZ591" s="78"/>
      <c r="BA591" s="78"/>
      <c r="BB591" s="78"/>
      <c r="BC591" s="78"/>
      <c r="BD591" s="78"/>
    </row>
    <row r="592" ht="16.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</row>
    <row r="593" ht="16.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78"/>
      <c r="AZ593" s="78"/>
      <c r="BA593" s="78"/>
      <c r="BB593" s="78"/>
      <c r="BC593" s="78"/>
      <c r="BD593" s="78"/>
    </row>
    <row r="594" ht="16.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78"/>
      <c r="AZ594" s="78"/>
      <c r="BA594" s="78"/>
      <c r="BB594" s="78"/>
      <c r="BC594" s="78"/>
      <c r="BD594" s="78"/>
    </row>
    <row r="595" ht="16.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78"/>
      <c r="AZ595" s="78"/>
      <c r="BA595" s="78"/>
      <c r="BB595" s="78"/>
      <c r="BC595" s="78"/>
      <c r="BD595" s="78"/>
    </row>
    <row r="596" ht="16.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78"/>
      <c r="AZ596" s="78"/>
      <c r="BA596" s="78"/>
      <c r="BB596" s="78"/>
      <c r="BC596" s="78"/>
      <c r="BD596" s="78"/>
    </row>
    <row r="597" ht="16.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78"/>
      <c r="AZ597" s="78"/>
      <c r="BA597" s="78"/>
      <c r="BB597" s="78"/>
      <c r="BC597" s="78"/>
      <c r="BD597" s="78"/>
    </row>
    <row r="598" ht="16.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78"/>
      <c r="AZ598" s="78"/>
      <c r="BA598" s="78"/>
      <c r="BB598" s="78"/>
      <c r="BC598" s="78"/>
      <c r="BD598" s="78"/>
    </row>
    <row r="599" ht="16.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78"/>
      <c r="AZ599" s="78"/>
      <c r="BA599" s="78"/>
      <c r="BB599" s="78"/>
      <c r="BC599" s="78"/>
      <c r="BD599" s="78"/>
    </row>
    <row r="600" ht="16.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78"/>
      <c r="AZ600" s="78"/>
      <c r="BA600" s="78"/>
      <c r="BB600" s="78"/>
      <c r="BC600" s="78"/>
      <c r="BD600" s="78"/>
    </row>
    <row r="601" ht="16.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78"/>
      <c r="AZ601" s="78"/>
      <c r="BA601" s="78"/>
      <c r="BB601" s="78"/>
      <c r="BC601" s="78"/>
      <c r="BD601" s="78"/>
    </row>
    <row r="602" ht="16.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78"/>
      <c r="AZ602" s="78"/>
      <c r="BA602" s="78"/>
      <c r="BB602" s="78"/>
      <c r="BC602" s="78"/>
      <c r="BD602" s="78"/>
    </row>
    <row r="603" ht="16.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</row>
    <row r="604" ht="16.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78"/>
      <c r="AZ604" s="78"/>
      <c r="BA604" s="78"/>
      <c r="BB604" s="78"/>
      <c r="BC604" s="78"/>
      <c r="BD604" s="78"/>
    </row>
    <row r="605" ht="16.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78"/>
      <c r="AZ605" s="78"/>
      <c r="BA605" s="78"/>
      <c r="BB605" s="78"/>
      <c r="BC605" s="78"/>
      <c r="BD605" s="78"/>
    </row>
    <row r="606" ht="16.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78"/>
      <c r="AZ606" s="78"/>
      <c r="BA606" s="78"/>
      <c r="BB606" s="78"/>
      <c r="BC606" s="78"/>
      <c r="BD606" s="78"/>
    </row>
    <row r="607" ht="16.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78"/>
      <c r="AZ607" s="78"/>
      <c r="BA607" s="78"/>
      <c r="BB607" s="78"/>
      <c r="BC607" s="78"/>
      <c r="BD607" s="78"/>
    </row>
    <row r="608" ht="16.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78"/>
      <c r="AZ608" s="78"/>
      <c r="BA608" s="78"/>
      <c r="BB608" s="78"/>
      <c r="BC608" s="78"/>
      <c r="BD608" s="78"/>
    </row>
    <row r="609" ht="16.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78"/>
      <c r="AZ609" s="78"/>
      <c r="BA609" s="78"/>
      <c r="BB609" s="78"/>
      <c r="BC609" s="78"/>
      <c r="BD609" s="78"/>
    </row>
    <row r="610" ht="16.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78"/>
      <c r="AZ610" s="78"/>
      <c r="BA610" s="78"/>
      <c r="BB610" s="78"/>
      <c r="BC610" s="78"/>
      <c r="BD610" s="78"/>
    </row>
    <row r="611" ht="16.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78"/>
      <c r="AZ611" s="78"/>
      <c r="BA611" s="78"/>
      <c r="BB611" s="78"/>
      <c r="BC611" s="78"/>
      <c r="BD611" s="78"/>
    </row>
    <row r="612" ht="16.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78"/>
      <c r="AZ612" s="78"/>
      <c r="BA612" s="78"/>
      <c r="BB612" s="78"/>
      <c r="BC612" s="78"/>
      <c r="BD612" s="78"/>
    </row>
    <row r="613" ht="16.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78"/>
      <c r="AZ613" s="78"/>
      <c r="BA613" s="78"/>
      <c r="BB613" s="78"/>
      <c r="BC613" s="78"/>
      <c r="BD613" s="78"/>
    </row>
    <row r="614" ht="16.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78"/>
      <c r="AZ614" s="78"/>
      <c r="BA614" s="78"/>
      <c r="BB614" s="78"/>
      <c r="BC614" s="78"/>
      <c r="BD614" s="78"/>
    </row>
    <row r="615" ht="16.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78"/>
      <c r="AZ615" s="78"/>
      <c r="BA615" s="78"/>
      <c r="BB615" s="78"/>
      <c r="BC615" s="78"/>
      <c r="BD615" s="78"/>
    </row>
    <row r="616" ht="16.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78"/>
      <c r="AZ616" s="78"/>
      <c r="BA616" s="78"/>
      <c r="BB616" s="78"/>
      <c r="BC616" s="78"/>
      <c r="BD616" s="78"/>
    </row>
    <row r="617" ht="16.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78"/>
      <c r="AZ617" s="78"/>
      <c r="BA617" s="78"/>
      <c r="BB617" s="78"/>
      <c r="BC617" s="78"/>
      <c r="BD617" s="78"/>
    </row>
    <row r="618" ht="16.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78"/>
      <c r="AZ618" s="78"/>
      <c r="BA618" s="78"/>
      <c r="BB618" s="78"/>
      <c r="BC618" s="78"/>
      <c r="BD618" s="78"/>
    </row>
    <row r="619" ht="16.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78"/>
      <c r="AZ619" s="78"/>
      <c r="BA619" s="78"/>
      <c r="BB619" s="78"/>
      <c r="BC619" s="78"/>
      <c r="BD619" s="78"/>
    </row>
    <row r="620" ht="16.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78"/>
      <c r="AZ620" s="78"/>
      <c r="BA620" s="78"/>
      <c r="BB620" s="78"/>
      <c r="BC620" s="78"/>
      <c r="BD620" s="78"/>
    </row>
    <row r="621" ht="16.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78"/>
      <c r="AZ621" s="78"/>
      <c r="BA621" s="78"/>
      <c r="BB621" s="78"/>
      <c r="BC621" s="78"/>
      <c r="BD621" s="78"/>
    </row>
    <row r="622" ht="16.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78"/>
      <c r="AZ622" s="78"/>
      <c r="BA622" s="78"/>
      <c r="BB622" s="78"/>
      <c r="BC622" s="78"/>
      <c r="BD622" s="78"/>
    </row>
    <row r="623" ht="16.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78"/>
      <c r="AZ623" s="78"/>
      <c r="BA623" s="78"/>
      <c r="BB623" s="78"/>
      <c r="BC623" s="78"/>
      <c r="BD623" s="78"/>
    </row>
    <row r="624" ht="16.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78"/>
      <c r="AZ624" s="78"/>
      <c r="BA624" s="78"/>
      <c r="BB624" s="78"/>
      <c r="BC624" s="78"/>
      <c r="BD624" s="78"/>
    </row>
    <row r="625" ht="16.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78"/>
      <c r="AZ625" s="78"/>
      <c r="BA625" s="78"/>
      <c r="BB625" s="78"/>
      <c r="BC625" s="78"/>
      <c r="BD625" s="78"/>
    </row>
    <row r="626" ht="16.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78"/>
      <c r="AZ626" s="78"/>
      <c r="BA626" s="78"/>
      <c r="BB626" s="78"/>
      <c r="BC626" s="78"/>
      <c r="BD626" s="78"/>
    </row>
    <row r="627" ht="16.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78"/>
      <c r="AZ627" s="78"/>
      <c r="BA627" s="78"/>
      <c r="BB627" s="78"/>
      <c r="BC627" s="78"/>
      <c r="BD627" s="78"/>
    </row>
    <row r="628" ht="16.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78"/>
      <c r="AZ628" s="78"/>
      <c r="BA628" s="78"/>
      <c r="BB628" s="78"/>
      <c r="BC628" s="78"/>
      <c r="BD628" s="78"/>
    </row>
    <row r="629" ht="16.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78"/>
      <c r="AZ629" s="78"/>
      <c r="BA629" s="78"/>
      <c r="BB629" s="78"/>
      <c r="BC629" s="78"/>
      <c r="BD629" s="78"/>
    </row>
    <row r="630" ht="16.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78"/>
      <c r="AZ630" s="78"/>
      <c r="BA630" s="78"/>
      <c r="BB630" s="78"/>
      <c r="BC630" s="78"/>
      <c r="BD630" s="78"/>
    </row>
    <row r="631" ht="16.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78"/>
      <c r="AZ631" s="78"/>
      <c r="BA631" s="78"/>
      <c r="BB631" s="78"/>
      <c r="BC631" s="78"/>
      <c r="BD631" s="78"/>
    </row>
    <row r="632" ht="16.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78"/>
      <c r="AZ632" s="78"/>
      <c r="BA632" s="78"/>
      <c r="BB632" s="78"/>
      <c r="BC632" s="78"/>
      <c r="BD632" s="78"/>
    </row>
    <row r="633" ht="16.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78"/>
      <c r="AZ633" s="78"/>
      <c r="BA633" s="78"/>
      <c r="BB633" s="78"/>
      <c r="BC633" s="78"/>
      <c r="BD633" s="78"/>
    </row>
    <row r="634" ht="16.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78"/>
      <c r="AZ634" s="78"/>
      <c r="BA634" s="78"/>
      <c r="BB634" s="78"/>
      <c r="BC634" s="78"/>
      <c r="BD634" s="78"/>
    </row>
    <row r="635" ht="16.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78"/>
      <c r="AZ635" s="78"/>
      <c r="BA635" s="78"/>
      <c r="BB635" s="78"/>
      <c r="BC635" s="78"/>
      <c r="BD635" s="78"/>
    </row>
    <row r="636" ht="16.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78"/>
      <c r="AZ636" s="78"/>
      <c r="BA636" s="78"/>
      <c r="BB636" s="78"/>
      <c r="BC636" s="78"/>
      <c r="BD636" s="78"/>
    </row>
    <row r="637" ht="16.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78"/>
      <c r="AZ637" s="78"/>
      <c r="BA637" s="78"/>
      <c r="BB637" s="78"/>
      <c r="BC637" s="78"/>
      <c r="BD637" s="78"/>
    </row>
    <row r="638" ht="16.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78"/>
      <c r="AZ638" s="78"/>
      <c r="BA638" s="78"/>
      <c r="BB638" s="78"/>
      <c r="BC638" s="78"/>
      <c r="BD638" s="78"/>
    </row>
    <row r="639" ht="16.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78"/>
      <c r="AZ639" s="78"/>
      <c r="BA639" s="78"/>
      <c r="BB639" s="78"/>
      <c r="BC639" s="78"/>
      <c r="BD639" s="78"/>
    </row>
    <row r="640" ht="16.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78"/>
      <c r="AZ640" s="78"/>
      <c r="BA640" s="78"/>
      <c r="BB640" s="78"/>
      <c r="BC640" s="78"/>
      <c r="BD640" s="78"/>
    </row>
    <row r="641" ht="16.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78"/>
      <c r="AZ641" s="78"/>
      <c r="BA641" s="78"/>
      <c r="BB641" s="78"/>
      <c r="BC641" s="78"/>
      <c r="BD641" s="78"/>
    </row>
    <row r="642" ht="16.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78"/>
      <c r="AZ642" s="78"/>
      <c r="BA642" s="78"/>
      <c r="BB642" s="78"/>
      <c r="BC642" s="78"/>
      <c r="BD642" s="78"/>
    </row>
    <row r="643" ht="16.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</row>
    <row r="644" ht="16.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78"/>
      <c r="AZ644" s="78"/>
      <c r="BA644" s="78"/>
      <c r="BB644" s="78"/>
      <c r="BC644" s="78"/>
      <c r="BD644" s="78"/>
    </row>
    <row r="645" ht="16.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78"/>
      <c r="AZ645" s="78"/>
      <c r="BA645" s="78"/>
      <c r="BB645" s="78"/>
      <c r="BC645" s="78"/>
      <c r="BD645" s="78"/>
    </row>
    <row r="646" ht="16.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78"/>
      <c r="AZ646" s="78"/>
      <c r="BA646" s="78"/>
      <c r="BB646" s="78"/>
      <c r="BC646" s="78"/>
      <c r="BD646" s="78"/>
    </row>
    <row r="647" ht="16.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78"/>
      <c r="AZ647" s="78"/>
      <c r="BA647" s="78"/>
      <c r="BB647" s="78"/>
      <c r="BC647" s="78"/>
      <c r="BD647" s="78"/>
    </row>
    <row r="648" ht="16.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78"/>
      <c r="AZ648" s="78"/>
      <c r="BA648" s="78"/>
      <c r="BB648" s="78"/>
      <c r="BC648" s="78"/>
      <c r="BD648" s="78"/>
    </row>
    <row r="649" ht="16.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78"/>
      <c r="AZ649" s="78"/>
      <c r="BA649" s="78"/>
      <c r="BB649" s="78"/>
      <c r="BC649" s="78"/>
      <c r="BD649" s="78"/>
    </row>
    <row r="650" ht="16.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78"/>
      <c r="AZ650" s="78"/>
      <c r="BA650" s="78"/>
      <c r="BB650" s="78"/>
      <c r="BC650" s="78"/>
      <c r="BD650" s="78"/>
    </row>
    <row r="651" ht="16.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78"/>
      <c r="AZ651" s="78"/>
      <c r="BA651" s="78"/>
      <c r="BB651" s="78"/>
      <c r="BC651" s="78"/>
      <c r="BD651" s="78"/>
    </row>
    <row r="652" ht="16.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78"/>
      <c r="AZ652" s="78"/>
      <c r="BA652" s="78"/>
      <c r="BB652" s="78"/>
      <c r="BC652" s="78"/>
      <c r="BD652" s="78"/>
    </row>
    <row r="653" ht="16.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78"/>
      <c r="AZ653" s="78"/>
      <c r="BA653" s="78"/>
      <c r="BB653" s="78"/>
      <c r="BC653" s="78"/>
      <c r="BD653" s="78"/>
    </row>
    <row r="654" ht="16.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78"/>
      <c r="AZ654" s="78"/>
      <c r="BA654" s="78"/>
      <c r="BB654" s="78"/>
      <c r="BC654" s="78"/>
      <c r="BD654" s="78"/>
    </row>
    <row r="655" ht="16.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78"/>
      <c r="AZ655" s="78"/>
      <c r="BA655" s="78"/>
      <c r="BB655" s="78"/>
      <c r="BC655" s="78"/>
      <c r="BD655" s="78"/>
    </row>
    <row r="656" ht="16.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78"/>
      <c r="AZ656" s="78"/>
      <c r="BA656" s="78"/>
      <c r="BB656" s="78"/>
      <c r="BC656" s="78"/>
      <c r="BD656" s="78"/>
    </row>
    <row r="657" ht="16.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78"/>
      <c r="AZ657" s="78"/>
      <c r="BA657" s="78"/>
      <c r="BB657" s="78"/>
      <c r="BC657" s="78"/>
      <c r="BD657" s="78"/>
    </row>
    <row r="658" ht="16.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78"/>
      <c r="AZ658" s="78"/>
      <c r="BA658" s="78"/>
      <c r="BB658" s="78"/>
      <c r="BC658" s="78"/>
      <c r="BD658" s="78"/>
    </row>
    <row r="659" ht="16.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78"/>
      <c r="AZ659" s="78"/>
      <c r="BA659" s="78"/>
      <c r="BB659" s="78"/>
      <c r="BC659" s="78"/>
      <c r="BD659" s="78"/>
    </row>
    <row r="660" ht="16.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78"/>
      <c r="AZ660" s="78"/>
      <c r="BA660" s="78"/>
      <c r="BB660" s="78"/>
      <c r="BC660" s="78"/>
      <c r="BD660" s="78"/>
    </row>
    <row r="661" ht="16.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78"/>
      <c r="AZ661" s="78"/>
      <c r="BA661" s="78"/>
      <c r="BB661" s="78"/>
      <c r="BC661" s="78"/>
      <c r="BD661" s="78"/>
    </row>
    <row r="662" ht="16.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78"/>
      <c r="AZ662" s="78"/>
      <c r="BA662" s="78"/>
      <c r="BB662" s="78"/>
      <c r="BC662" s="78"/>
      <c r="BD662" s="78"/>
    </row>
    <row r="663" ht="16.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78"/>
      <c r="AZ663" s="78"/>
      <c r="BA663" s="78"/>
      <c r="BB663" s="78"/>
      <c r="BC663" s="78"/>
      <c r="BD663" s="78"/>
    </row>
    <row r="664" ht="16.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78"/>
      <c r="AZ664" s="78"/>
      <c r="BA664" s="78"/>
      <c r="BB664" s="78"/>
      <c r="BC664" s="78"/>
      <c r="BD664" s="78"/>
    </row>
    <row r="665" ht="16.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78"/>
      <c r="AZ665" s="78"/>
      <c r="BA665" s="78"/>
      <c r="BB665" s="78"/>
      <c r="BC665" s="78"/>
      <c r="BD665" s="78"/>
    </row>
    <row r="666" ht="16.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78"/>
      <c r="AZ666" s="78"/>
      <c r="BA666" s="78"/>
      <c r="BB666" s="78"/>
      <c r="BC666" s="78"/>
      <c r="BD666" s="78"/>
    </row>
    <row r="667" ht="16.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78"/>
      <c r="AZ667" s="78"/>
      <c r="BA667" s="78"/>
      <c r="BB667" s="78"/>
      <c r="BC667" s="78"/>
      <c r="BD667" s="78"/>
    </row>
    <row r="668" ht="16.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78"/>
      <c r="AZ668" s="78"/>
      <c r="BA668" s="78"/>
      <c r="BB668" s="78"/>
      <c r="BC668" s="78"/>
      <c r="BD668" s="78"/>
    </row>
    <row r="669" ht="16.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78"/>
      <c r="AZ669" s="78"/>
      <c r="BA669" s="78"/>
      <c r="BB669" s="78"/>
      <c r="BC669" s="78"/>
      <c r="BD669" s="78"/>
    </row>
    <row r="670" ht="16.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78"/>
      <c r="AZ670" s="78"/>
      <c r="BA670" s="78"/>
      <c r="BB670" s="78"/>
      <c r="BC670" s="78"/>
      <c r="BD670" s="78"/>
    </row>
    <row r="671" ht="16.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78"/>
      <c r="AZ671" s="78"/>
      <c r="BA671" s="78"/>
      <c r="BB671" s="78"/>
      <c r="BC671" s="78"/>
      <c r="BD671" s="78"/>
    </row>
    <row r="672" ht="16.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78"/>
      <c r="AZ672" s="78"/>
      <c r="BA672" s="78"/>
      <c r="BB672" s="78"/>
      <c r="BC672" s="78"/>
      <c r="BD672" s="78"/>
    </row>
    <row r="673" ht="16.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78"/>
      <c r="AZ673" s="78"/>
      <c r="BA673" s="78"/>
      <c r="BB673" s="78"/>
      <c r="BC673" s="78"/>
      <c r="BD673" s="78"/>
    </row>
    <row r="674" ht="16.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78"/>
      <c r="AZ674" s="78"/>
      <c r="BA674" s="78"/>
      <c r="BB674" s="78"/>
      <c r="BC674" s="78"/>
      <c r="BD674" s="78"/>
    </row>
    <row r="675" ht="16.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78"/>
      <c r="AZ675" s="78"/>
      <c r="BA675" s="78"/>
      <c r="BB675" s="78"/>
      <c r="BC675" s="78"/>
      <c r="BD675" s="78"/>
    </row>
    <row r="676" ht="16.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78"/>
      <c r="AZ676" s="78"/>
      <c r="BA676" s="78"/>
      <c r="BB676" s="78"/>
      <c r="BC676" s="78"/>
      <c r="BD676" s="78"/>
    </row>
    <row r="677" ht="16.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78"/>
      <c r="AZ677" s="78"/>
      <c r="BA677" s="78"/>
      <c r="BB677" s="78"/>
      <c r="BC677" s="78"/>
      <c r="BD677" s="78"/>
    </row>
    <row r="678" ht="16.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78"/>
      <c r="AZ678" s="78"/>
      <c r="BA678" s="78"/>
      <c r="BB678" s="78"/>
      <c r="BC678" s="78"/>
      <c r="BD678" s="78"/>
    </row>
    <row r="679" ht="16.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78"/>
      <c r="AZ679" s="78"/>
      <c r="BA679" s="78"/>
      <c r="BB679" s="78"/>
      <c r="BC679" s="78"/>
      <c r="BD679" s="78"/>
    </row>
    <row r="680" ht="16.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78"/>
      <c r="AZ680" s="78"/>
      <c r="BA680" s="78"/>
      <c r="BB680" s="78"/>
      <c r="BC680" s="78"/>
      <c r="BD680" s="78"/>
    </row>
    <row r="681" ht="16.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78"/>
      <c r="AZ681" s="78"/>
      <c r="BA681" s="78"/>
      <c r="BB681" s="78"/>
      <c r="BC681" s="78"/>
      <c r="BD681" s="78"/>
    </row>
    <row r="682" ht="16.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78"/>
      <c r="AZ682" s="78"/>
      <c r="BA682" s="78"/>
      <c r="BB682" s="78"/>
      <c r="BC682" s="78"/>
      <c r="BD682" s="78"/>
    </row>
    <row r="683" ht="16.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</row>
    <row r="684" ht="16.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78"/>
      <c r="AZ684" s="78"/>
      <c r="BA684" s="78"/>
      <c r="BB684" s="78"/>
      <c r="BC684" s="78"/>
      <c r="BD684" s="78"/>
    </row>
    <row r="685" ht="16.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78"/>
      <c r="AZ685" s="78"/>
      <c r="BA685" s="78"/>
      <c r="BB685" s="78"/>
      <c r="BC685" s="78"/>
      <c r="BD685" s="78"/>
    </row>
    <row r="686" ht="16.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78"/>
      <c r="AZ686" s="78"/>
      <c r="BA686" s="78"/>
      <c r="BB686" s="78"/>
      <c r="BC686" s="78"/>
      <c r="BD686" s="78"/>
    </row>
    <row r="687" ht="16.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78"/>
      <c r="AZ687" s="78"/>
      <c r="BA687" s="78"/>
      <c r="BB687" s="78"/>
      <c r="BC687" s="78"/>
      <c r="BD687" s="78"/>
    </row>
    <row r="688" ht="16.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78"/>
      <c r="AZ688" s="78"/>
      <c r="BA688" s="78"/>
      <c r="BB688" s="78"/>
      <c r="BC688" s="78"/>
      <c r="BD688" s="78"/>
    </row>
    <row r="689" ht="16.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78"/>
      <c r="AZ689" s="78"/>
      <c r="BA689" s="78"/>
      <c r="BB689" s="78"/>
      <c r="BC689" s="78"/>
      <c r="BD689" s="78"/>
    </row>
    <row r="690" ht="16.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78"/>
      <c r="AZ690" s="78"/>
      <c r="BA690" s="78"/>
      <c r="BB690" s="78"/>
      <c r="BC690" s="78"/>
      <c r="BD690" s="78"/>
    </row>
    <row r="691" ht="16.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78"/>
      <c r="AZ691" s="78"/>
      <c r="BA691" s="78"/>
      <c r="BB691" s="78"/>
      <c r="BC691" s="78"/>
      <c r="BD691" s="78"/>
    </row>
    <row r="692" ht="16.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78"/>
      <c r="AZ692" s="78"/>
      <c r="BA692" s="78"/>
      <c r="BB692" s="78"/>
      <c r="BC692" s="78"/>
      <c r="BD692" s="78"/>
    </row>
    <row r="693" ht="16.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78"/>
      <c r="AZ693" s="78"/>
      <c r="BA693" s="78"/>
      <c r="BB693" s="78"/>
      <c r="BC693" s="78"/>
      <c r="BD693" s="78"/>
    </row>
    <row r="694" ht="16.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78"/>
      <c r="AZ694" s="78"/>
      <c r="BA694" s="78"/>
      <c r="BB694" s="78"/>
      <c r="BC694" s="78"/>
      <c r="BD694" s="78"/>
    </row>
    <row r="695" ht="16.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78"/>
      <c r="AZ695" s="78"/>
      <c r="BA695" s="78"/>
      <c r="BB695" s="78"/>
      <c r="BC695" s="78"/>
      <c r="BD695" s="78"/>
    </row>
    <row r="696" ht="16.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78"/>
      <c r="AZ696" s="78"/>
      <c r="BA696" s="78"/>
      <c r="BB696" s="78"/>
      <c r="BC696" s="78"/>
      <c r="BD696" s="78"/>
    </row>
    <row r="697" ht="16.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78"/>
      <c r="AZ697" s="78"/>
      <c r="BA697" s="78"/>
      <c r="BB697" s="78"/>
      <c r="BC697" s="78"/>
      <c r="BD697" s="78"/>
    </row>
    <row r="698" ht="16.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78"/>
      <c r="AZ698" s="78"/>
      <c r="BA698" s="78"/>
      <c r="BB698" s="78"/>
      <c r="BC698" s="78"/>
      <c r="BD698" s="78"/>
    </row>
    <row r="699" ht="16.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78"/>
      <c r="AZ699" s="78"/>
      <c r="BA699" s="78"/>
      <c r="BB699" s="78"/>
      <c r="BC699" s="78"/>
      <c r="BD699" s="78"/>
    </row>
    <row r="700" ht="16.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78"/>
      <c r="AZ700" s="78"/>
      <c r="BA700" s="78"/>
      <c r="BB700" s="78"/>
      <c r="BC700" s="78"/>
      <c r="BD700" s="78"/>
    </row>
    <row r="701" ht="16.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78"/>
      <c r="AZ701" s="78"/>
      <c r="BA701" s="78"/>
      <c r="BB701" s="78"/>
      <c r="BC701" s="78"/>
      <c r="BD701" s="78"/>
    </row>
    <row r="702" ht="16.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78"/>
      <c r="AZ702" s="78"/>
      <c r="BA702" s="78"/>
      <c r="BB702" s="78"/>
      <c r="BC702" s="78"/>
      <c r="BD702" s="78"/>
    </row>
    <row r="703" ht="16.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78"/>
      <c r="AZ703" s="78"/>
      <c r="BA703" s="78"/>
      <c r="BB703" s="78"/>
      <c r="BC703" s="78"/>
      <c r="BD703" s="78"/>
    </row>
    <row r="704" ht="16.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78"/>
      <c r="AZ704" s="78"/>
      <c r="BA704" s="78"/>
      <c r="BB704" s="78"/>
      <c r="BC704" s="78"/>
      <c r="BD704" s="78"/>
    </row>
    <row r="705" ht="16.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78"/>
      <c r="AZ705" s="78"/>
      <c r="BA705" s="78"/>
      <c r="BB705" s="78"/>
      <c r="BC705" s="78"/>
      <c r="BD705" s="78"/>
    </row>
    <row r="706" ht="16.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78"/>
      <c r="AZ706" s="78"/>
      <c r="BA706" s="78"/>
      <c r="BB706" s="78"/>
      <c r="BC706" s="78"/>
      <c r="BD706" s="78"/>
    </row>
    <row r="707" ht="16.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78"/>
      <c r="AZ707" s="78"/>
      <c r="BA707" s="78"/>
      <c r="BB707" s="78"/>
      <c r="BC707" s="78"/>
      <c r="BD707" s="78"/>
    </row>
    <row r="708" ht="16.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78"/>
      <c r="AZ708" s="78"/>
      <c r="BA708" s="78"/>
      <c r="BB708" s="78"/>
      <c r="BC708" s="78"/>
      <c r="BD708" s="78"/>
    </row>
    <row r="709" ht="16.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78"/>
      <c r="AZ709" s="78"/>
      <c r="BA709" s="78"/>
      <c r="BB709" s="78"/>
      <c r="BC709" s="78"/>
      <c r="BD709" s="78"/>
    </row>
    <row r="710" ht="16.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78"/>
      <c r="AZ710" s="78"/>
      <c r="BA710" s="78"/>
      <c r="BB710" s="78"/>
      <c r="BC710" s="78"/>
      <c r="BD710" s="78"/>
    </row>
    <row r="711" ht="16.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78"/>
      <c r="AZ711" s="78"/>
      <c r="BA711" s="78"/>
      <c r="BB711" s="78"/>
      <c r="BC711" s="78"/>
      <c r="BD711" s="78"/>
    </row>
    <row r="712" ht="16.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78"/>
      <c r="AZ712" s="78"/>
      <c r="BA712" s="78"/>
      <c r="BB712" s="78"/>
      <c r="BC712" s="78"/>
      <c r="BD712" s="78"/>
    </row>
    <row r="713" ht="16.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78"/>
      <c r="AZ713" s="78"/>
      <c r="BA713" s="78"/>
      <c r="BB713" s="78"/>
      <c r="BC713" s="78"/>
      <c r="BD713" s="78"/>
    </row>
    <row r="714" ht="16.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78"/>
      <c r="AZ714" s="78"/>
      <c r="BA714" s="78"/>
      <c r="BB714" s="78"/>
      <c r="BC714" s="78"/>
      <c r="BD714" s="78"/>
    </row>
    <row r="715" ht="16.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78"/>
      <c r="AZ715" s="78"/>
      <c r="BA715" s="78"/>
      <c r="BB715" s="78"/>
      <c r="BC715" s="78"/>
      <c r="BD715" s="78"/>
    </row>
    <row r="716" ht="16.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78"/>
      <c r="AZ716" s="78"/>
      <c r="BA716" s="78"/>
      <c r="BB716" s="78"/>
      <c r="BC716" s="78"/>
      <c r="BD716" s="78"/>
    </row>
    <row r="717" ht="16.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78"/>
      <c r="AZ717" s="78"/>
      <c r="BA717" s="78"/>
      <c r="BB717" s="78"/>
      <c r="BC717" s="78"/>
      <c r="BD717" s="78"/>
    </row>
    <row r="718" ht="16.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78"/>
      <c r="AZ718" s="78"/>
      <c r="BA718" s="78"/>
      <c r="BB718" s="78"/>
      <c r="BC718" s="78"/>
      <c r="BD718" s="78"/>
    </row>
    <row r="719" ht="16.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78"/>
      <c r="AZ719" s="78"/>
      <c r="BA719" s="78"/>
      <c r="BB719" s="78"/>
      <c r="BC719" s="78"/>
      <c r="BD719" s="78"/>
    </row>
    <row r="720" ht="16.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78"/>
      <c r="AZ720" s="78"/>
      <c r="BA720" s="78"/>
      <c r="BB720" s="78"/>
      <c r="BC720" s="78"/>
      <c r="BD720" s="78"/>
    </row>
    <row r="721" ht="16.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78"/>
      <c r="AZ721" s="78"/>
      <c r="BA721" s="78"/>
      <c r="BB721" s="78"/>
      <c r="BC721" s="78"/>
      <c r="BD721" s="78"/>
    </row>
    <row r="722" ht="16.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78"/>
      <c r="AZ722" s="78"/>
      <c r="BA722" s="78"/>
      <c r="BB722" s="78"/>
      <c r="BC722" s="78"/>
      <c r="BD722" s="78"/>
    </row>
    <row r="723" ht="16.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</row>
    <row r="724" ht="16.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78"/>
      <c r="AZ724" s="78"/>
      <c r="BA724" s="78"/>
      <c r="BB724" s="78"/>
      <c r="BC724" s="78"/>
      <c r="BD724" s="78"/>
    </row>
    <row r="725" ht="16.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78"/>
      <c r="AZ725" s="78"/>
      <c r="BA725" s="78"/>
      <c r="BB725" s="78"/>
      <c r="BC725" s="78"/>
      <c r="BD725" s="78"/>
    </row>
    <row r="726" ht="16.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78"/>
      <c r="AZ726" s="78"/>
      <c r="BA726" s="78"/>
      <c r="BB726" s="78"/>
      <c r="BC726" s="78"/>
      <c r="BD726" s="78"/>
    </row>
    <row r="727" ht="16.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78"/>
      <c r="AZ727" s="78"/>
      <c r="BA727" s="78"/>
      <c r="BB727" s="78"/>
      <c r="BC727" s="78"/>
      <c r="BD727" s="78"/>
    </row>
    <row r="728" ht="16.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78"/>
      <c r="AZ728" s="78"/>
      <c r="BA728" s="78"/>
      <c r="BB728" s="78"/>
      <c r="BC728" s="78"/>
      <c r="BD728" s="78"/>
    </row>
    <row r="729" ht="16.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78"/>
      <c r="AZ729" s="78"/>
      <c r="BA729" s="78"/>
      <c r="BB729" s="78"/>
      <c r="BC729" s="78"/>
      <c r="BD729" s="78"/>
    </row>
    <row r="730" ht="16.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78"/>
      <c r="AZ730" s="78"/>
      <c r="BA730" s="78"/>
      <c r="BB730" s="78"/>
      <c r="BC730" s="78"/>
      <c r="BD730" s="78"/>
    </row>
    <row r="731" ht="16.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78"/>
      <c r="AZ731" s="78"/>
      <c r="BA731" s="78"/>
      <c r="BB731" s="78"/>
      <c r="BC731" s="78"/>
      <c r="BD731" s="78"/>
    </row>
    <row r="732" ht="16.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78"/>
      <c r="AZ732" s="78"/>
      <c r="BA732" s="78"/>
      <c r="BB732" s="78"/>
      <c r="BC732" s="78"/>
      <c r="BD732" s="78"/>
    </row>
    <row r="733" ht="16.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78"/>
      <c r="AZ733" s="78"/>
      <c r="BA733" s="78"/>
      <c r="BB733" s="78"/>
      <c r="BC733" s="78"/>
      <c r="BD733" s="78"/>
    </row>
    <row r="734" ht="16.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78"/>
      <c r="AZ734" s="78"/>
      <c r="BA734" s="78"/>
      <c r="BB734" s="78"/>
      <c r="BC734" s="78"/>
      <c r="BD734" s="78"/>
    </row>
    <row r="735" ht="16.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78"/>
      <c r="AZ735" s="78"/>
      <c r="BA735" s="78"/>
      <c r="BB735" s="78"/>
      <c r="BC735" s="78"/>
      <c r="BD735" s="78"/>
    </row>
    <row r="736" ht="16.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78"/>
      <c r="AZ736" s="78"/>
      <c r="BA736" s="78"/>
      <c r="BB736" s="78"/>
      <c r="BC736" s="78"/>
      <c r="BD736" s="78"/>
    </row>
    <row r="737" ht="16.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78"/>
      <c r="AZ737" s="78"/>
      <c r="BA737" s="78"/>
      <c r="BB737" s="78"/>
      <c r="BC737" s="78"/>
      <c r="BD737" s="78"/>
    </row>
    <row r="738" ht="16.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78"/>
      <c r="AZ738" s="78"/>
      <c r="BA738" s="78"/>
      <c r="BB738" s="78"/>
      <c r="BC738" s="78"/>
      <c r="BD738" s="78"/>
    </row>
    <row r="739" ht="16.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78"/>
      <c r="AZ739" s="78"/>
      <c r="BA739" s="78"/>
      <c r="BB739" s="78"/>
      <c r="BC739" s="78"/>
      <c r="BD739" s="78"/>
    </row>
    <row r="740" ht="16.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78"/>
      <c r="AZ740" s="78"/>
      <c r="BA740" s="78"/>
      <c r="BB740" s="78"/>
      <c r="BC740" s="78"/>
      <c r="BD740" s="78"/>
    </row>
    <row r="741" ht="16.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78"/>
      <c r="AZ741" s="78"/>
      <c r="BA741" s="78"/>
      <c r="BB741" s="78"/>
      <c r="BC741" s="78"/>
      <c r="BD741" s="78"/>
    </row>
    <row r="742" ht="16.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78"/>
      <c r="AZ742" s="78"/>
      <c r="BA742" s="78"/>
      <c r="BB742" s="78"/>
      <c r="BC742" s="78"/>
      <c r="BD742" s="78"/>
    </row>
    <row r="743" ht="16.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78"/>
      <c r="AZ743" s="78"/>
      <c r="BA743" s="78"/>
      <c r="BB743" s="78"/>
      <c r="BC743" s="78"/>
      <c r="BD743" s="78"/>
    </row>
    <row r="744" ht="16.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78"/>
      <c r="AZ744" s="78"/>
      <c r="BA744" s="78"/>
      <c r="BB744" s="78"/>
      <c r="BC744" s="78"/>
      <c r="BD744" s="78"/>
    </row>
    <row r="745" ht="16.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78"/>
      <c r="AZ745" s="78"/>
      <c r="BA745" s="78"/>
      <c r="BB745" s="78"/>
      <c r="BC745" s="78"/>
      <c r="BD745" s="78"/>
    </row>
    <row r="746" ht="16.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78"/>
      <c r="AZ746" s="78"/>
      <c r="BA746" s="78"/>
      <c r="BB746" s="78"/>
      <c r="BC746" s="78"/>
      <c r="BD746" s="78"/>
    </row>
    <row r="747" ht="16.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78"/>
      <c r="AZ747" s="78"/>
      <c r="BA747" s="78"/>
      <c r="BB747" s="78"/>
      <c r="BC747" s="78"/>
      <c r="BD747" s="78"/>
    </row>
    <row r="748" ht="16.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78"/>
      <c r="AZ748" s="78"/>
      <c r="BA748" s="78"/>
      <c r="BB748" s="78"/>
      <c r="BC748" s="78"/>
      <c r="BD748" s="78"/>
    </row>
    <row r="749" ht="16.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78"/>
      <c r="AZ749" s="78"/>
      <c r="BA749" s="78"/>
      <c r="BB749" s="78"/>
      <c r="BC749" s="78"/>
      <c r="BD749" s="78"/>
    </row>
    <row r="750" ht="16.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78"/>
      <c r="AZ750" s="78"/>
      <c r="BA750" s="78"/>
      <c r="BB750" s="78"/>
      <c r="BC750" s="78"/>
      <c r="BD750" s="78"/>
    </row>
    <row r="751" ht="16.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78"/>
      <c r="AZ751" s="78"/>
      <c r="BA751" s="78"/>
      <c r="BB751" s="78"/>
      <c r="BC751" s="78"/>
      <c r="BD751" s="78"/>
    </row>
    <row r="752" ht="16.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78"/>
      <c r="AZ752" s="78"/>
      <c r="BA752" s="78"/>
      <c r="BB752" s="78"/>
      <c r="BC752" s="78"/>
      <c r="BD752" s="78"/>
    </row>
    <row r="753" ht="16.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78"/>
      <c r="AZ753" s="78"/>
      <c r="BA753" s="78"/>
      <c r="BB753" s="78"/>
      <c r="BC753" s="78"/>
      <c r="BD753" s="78"/>
    </row>
    <row r="754" ht="16.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78"/>
      <c r="AZ754" s="78"/>
      <c r="BA754" s="78"/>
      <c r="BB754" s="78"/>
      <c r="BC754" s="78"/>
      <c r="BD754" s="78"/>
    </row>
    <row r="755" ht="16.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78"/>
      <c r="AZ755" s="78"/>
      <c r="BA755" s="78"/>
      <c r="BB755" s="78"/>
      <c r="BC755" s="78"/>
      <c r="BD755" s="78"/>
    </row>
    <row r="756" ht="16.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78"/>
      <c r="AZ756" s="78"/>
      <c r="BA756" s="78"/>
      <c r="BB756" s="78"/>
      <c r="BC756" s="78"/>
      <c r="BD756" s="78"/>
    </row>
    <row r="757" ht="16.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78"/>
      <c r="AZ757" s="78"/>
      <c r="BA757" s="78"/>
      <c r="BB757" s="78"/>
      <c r="BC757" s="78"/>
      <c r="BD757" s="78"/>
    </row>
    <row r="758" ht="16.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78"/>
      <c r="AZ758" s="78"/>
      <c r="BA758" s="78"/>
      <c r="BB758" s="78"/>
      <c r="BC758" s="78"/>
      <c r="BD758" s="78"/>
    </row>
    <row r="759" ht="16.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78"/>
      <c r="AZ759" s="78"/>
      <c r="BA759" s="78"/>
      <c r="BB759" s="78"/>
      <c r="BC759" s="78"/>
      <c r="BD759" s="78"/>
    </row>
    <row r="760" ht="16.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78"/>
      <c r="AZ760" s="78"/>
      <c r="BA760" s="78"/>
      <c r="BB760" s="78"/>
      <c r="BC760" s="78"/>
      <c r="BD760" s="78"/>
    </row>
    <row r="761" ht="16.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78"/>
      <c r="AZ761" s="78"/>
      <c r="BA761" s="78"/>
      <c r="BB761" s="78"/>
      <c r="BC761" s="78"/>
      <c r="BD761" s="78"/>
    </row>
    <row r="762" ht="16.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78"/>
      <c r="AZ762" s="78"/>
      <c r="BA762" s="78"/>
      <c r="BB762" s="78"/>
      <c r="BC762" s="78"/>
      <c r="BD762" s="78"/>
    </row>
    <row r="763" ht="16.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</row>
    <row r="764" ht="16.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78"/>
      <c r="AZ764" s="78"/>
      <c r="BA764" s="78"/>
      <c r="BB764" s="78"/>
      <c r="BC764" s="78"/>
      <c r="BD764" s="78"/>
    </row>
    <row r="765" ht="16.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78"/>
      <c r="AZ765" s="78"/>
      <c r="BA765" s="78"/>
      <c r="BB765" s="78"/>
      <c r="BC765" s="78"/>
      <c r="BD765" s="78"/>
    </row>
    <row r="766" ht="16.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78"/>
      <c r="AZ766" s="78"/>
      <c r="BA766" s="78"/>
      <c r="BB766" s="78"/>
      <c r="BC766" s="78"/>
      <c r="BD766" s="78"/>
    </row>
    <row r="767" ht="16.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78"/>
      <c r="AZ767" s="78"/>
      <c r="BA767" s="78"/>
      <c r="BB767" s="78"/>
      <c r="BC767" s="78"/>
      <c r="BD767" s="78"/>
    </row>
    <row r="768" ht="16.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78"/>
      <c r="AZ768" s="78"/>
      <c r="BA768" s="78"/>
      <c r="BB768" s="78"/>
      <c r="BC768" s="78"/>
      <c r="BD768" s="78"/>
    </row>
    <row r="769" ht="16.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78"/>
      <c r="AZ769" s="78"/>
      <c r="BA769" s="78"/>
      <c r="BB769" s="78"/>
      <c r="BC769" s="78"/>
      <c r="BD769" s="78"/>
    </row>
    <row r="770" ht="16.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78"/>
      <c r="AZ770" s="78"/>
      <c r="BA770" s="78"/>
      <c r="BB770" s="78"/>
      <c r="BC770" s="78"/>
      <c r="BD770" s="78"/>
    </row>
    <row r="771" ht="16.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78"/>
      <c r="AZ771" s="78"/>
      <c r="BA771" s="78"/>
      <c r="BB771" s="78"/>
      <c r="BC771" s="78"/>
      <c r="BD771" s="78"/>
    </row>
    <row r="772" ht="16.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78"/>
      <c r="AZ772" s="78"/>
      <c r="BA772" s="78"/>
      <c r="BB772" s="78"/>
      <c r="BC772" s="78"/>
      <c r="BD772" s="78"/>
    </row>
    <row r="773" ht="16.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78"/>
      <c r="AZ773" s="78"/>
      <c r="BA773" s="78"/>
      <c r="BB773" s="78"/>
      <c r="BC773" s="78"/>
      <c r="BD773" s="78"/>
    </row>
    <row r="774" ht="16.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78"/>
      <c r="AZ774" s="78"/>
      <c r="BA774" s="78"/>
      <c r="BB774" s="78"/>
      <c r="BC774" s="78"/>
      <c r="BD774" s="78"/>
    </row>
    <row r="775" ht="16.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78"/>
      <c r="AZ775" s="78"/>
      <c r="BA775" s="78"/>
      <c r="BB775" s="78"/>
      <c r="BC775" s="78"/>
      <c r="BD775" s="78"/>
    </row>
    <row r="776" ht="16.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78"/>
      <c r="AZ776" s="78"/>
      <c r="BA776" s="78"/>
      <c r="BB776" s="78"/>
      <c r="BC776" s="78"/>
      <c r="BD776" s="78"/>
    </row>
    <row r="777" ht="16.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78"/>
      <c r="AZ777" s="78"/>
      <c r="BA777" s="78"/>
      <c r="BB777" s="78"/>
      <c r="BC777" s="78"/>
      <c r="BD777" s="78"/>
    </row>
    <row r="778" ht="16.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78"/>
      <c r="AZ778" s="78"/>
      <c r="BA778" s="78"/>
      <c r="BB778" s="78"/>
      <c r="BC778" s="78"/>
      <c r="BD778" s="78"/>
    </row>
    <row r="779" ht="16.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78"/>
      <c r="AZ779" s="78"/>
      <c r="BA779" s="78"/>
      <c r="BB779" s="78"/>
      <c r="BC779" s="78"/>
      <c r="BD779" s="78"/>
    </row>
    <row r="780" ht="16.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78"/>
      <c r="AZ780" s="78"/>
      <c r="BA780" s="78"/>
      <c r="BB780" s="78"/>
      <c r="BC780" s="78"/>
      <c r="BD780" s="78"/>
    </row>
    <row r="781" ht="16.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78"/>
      <c r="AZ781" s="78"/>
      <c r="BA781" s="78"/>
      <c r="BB781" s="78"/>
      <c r="BC781" s="78"/>
      <c r="BD781" s="78"/>
    </row>
    <row r="782" ht="16.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78"/>
      <c r="AZ782" s="78"/>
      <c r="BA782" s="78"/>
      <c r="BB782" s="78"/>
      <c r="BC782" s="78"/>
      <c r="BD782" s="78"/>
    </row>
    <row r="783" ht="16.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78"/>
      <c r="AZ783" s="78"/>
      <c r="BA783" s="78"/>
      <c r="BB783" s="78"/>
      <c r="BC783" s="78"/>
      <c r="BD783" s="78"/>
    </row>
    <row r="784" ht="16.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78"/>
      <c r="AZ784" s="78"/>
      <c r="BA784" s="78"/>
      <c r="BB784" s="78"/>
      <c r="BC784" s="78"/>
      <c r="BD784" s="78"/>
    </row>
    <row r="785" ht="16.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78"/>
      <c r="AZ785" s="78"/>
      <c r="BA785" s="78"/>
      <c r="BB785" s="78"/>
      <c r="BC785" s="78"/>
      <c r="BD785" s="78"/>
    </row>
    <row r="786" ht="16.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78"/>
      <c r="AZ786" s="78"/>
      <c r="BA786" s="78"/>
      <c r="BB786" s="78"/>
      <c r="BC786" s="78"/>
      <c r="BD786" s="78"/>
    </row>
    <row r="787" ht="16.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78"/>
      <c r="AZ787" s="78"/>
      <c r="BA787" s="78"/>
      <c r="BB787" s="78"/>
      <c r="BC787" s="78"/>
      <c r="BD787" s="78"/>
    </row>
    <row r="788" ht="16.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78"/>
      <c r="AZ788" s="78"/>
      <c r="BA788" s="78"/>
      <c r="BB788" s="78"/>
      <c r="BC788" s="78"/>
      <c r="BD788" s="78"/>
    </row>
    <row r="789" ht="16.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78"/>
      <c r="AZ789" s="78"/>
      <c r="BA789" s="78"/>
      <c r="BB789" s="78"/>
      <c r="BC789" s="78"/>
      <c r="BD789" s="78"/>
    </row>
    <row r="790" ht="16.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78"/>
      <c r="AZ790" s="78"/>
      <c r="BA790" s="78"/>
      <c r="BB790" s="78"/>
      <c r="BC790" s="78"/>
      <c r="BD790" s="78"/>
    </row>
    <row r="791" ht="16.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78"/>
      <c r="AZ791" s="78"/>
      <c r="BA791" s="78"/>
      <c r="BB791" s="78"/>
      <c r="BC791" s="78"/>
      <c r="BD791" s="78"/>
    </row>
    <row r="792" ht="16.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78"/>
      <c r="AZ792" s="78"/>
      <c r="BA792" s="78"/>
      <c r="BB792" s="78"/>
      <c r="BC792" s="78"/>
      <c r="BD792" s="78"/>
    </row>
    <row r="793" ht="16.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78"/>
      <c r="AZ793" s="78"/>
      <c r="BA793" s="78"/>
      <c r="BB793" s="78"/>
      <c r="BC793" s="78"/>
      <c r="BD793" s="78"/>
    </row>
    <row r="794" ht="16.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78"/>
      <c r="AZ794" s="78"/>
      <c r="BA794" s="78"/>
      <c r="BB794" s="78"/>
      <c r="BC794" s="78"/>
      <c r="BD794" s="78"/>
    </row>
    <row r="795" ht="16.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78"/>
      <c r="AZ795" s="78"/>
      <c r="BA795" s="78"/>
      <c r="BB795" s="78"/>
      <c r="BC795" s="78"/>
      <c r="BD795" s="78"/>
    </row>
    <row r="796" ht="16.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78"/>
      <c r="AZ796" s="78"/>
      <c r="BA796" s="78"/>
      <c r="BB796" s="78"/>
      <c r="BC796" s="78"/>
      <c r="BD796" s="78"/>
    </row>
    <row r="797" ht="16.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78"/>
      <c r="AZ797" s="78"/>
      <c r="BA797" s="78"/>
      <c r="BB797" s="78"/>
      <c r="BC797" s="78"/>
      <c r="BD797" s="78"/>
    </row>
    <row r="798" ht="16.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78"/>
      <c r="AZ798" s="78"/>
      <c r="BA798" s="78"/>
      <c r="BB798" s="78"/>
      <c r="BC798" s="78"/>
      <c r="BD798" s="78"/>
    </row>
    <row r="799" ht="16.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78"/>
      <c r="AZ799" s="78"/>
      <c r="BA799" s="78"/>
      <c r="BB799" s="78"/>
      <c r="BC799" s="78"/>
      <c r="BD799" s="78"/>
    </row>
    <row r="800" ht="16.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78"/>
      <c r="AZ800" s="78"/>
      <c r="BA800" s="78"/>
      <c r="BB800" s="78"/>
      <c r="BC800" s="78"/>
      <c r="BD800" s="78"/>
    </row>
    <row r="801" ht="16.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78"/>
      <c r="AZ801" s="78"/>
      <c r="BA801" s="78"/>
      <c r="BB801" s="78"/>
      <c r="BC801" s="78"/>
      <c r="BD801" s="78"/>
    </row>
    <row r="802" ht="16.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78"/>
      <c r="AZ802" s="78"/>
      <c r="BA802" s="78"/>
      <c r="BB802" s="78"/>
      <c r="BC802" s="78"/>
      <c r="BD802" s="78"/>
    </row>
    <row r="803" ht="16.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</row>
    <row r="804" ht="16.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78"/>
      <c r="AZ804" s="78"/>
      <c r="BA804" s="78"/>
      <c r="BB804" s="78"/>
      <c r="BC804" s="78"/>
      <c r="BD804" s="78"/>
    </row>
    <row r="805" ht="16.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78"/>
      <c r="AZ805" s="78"/>
      <c r="BA805" s="78"/>
      <c r="BB805" s="78"/>
      <c r="BC805" s="78"/>
      <c r="BD805" s="78"/>
    </row>
    <row r="806" ht="16.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78"/>
      <c r="AZ806" s="78"/>
      <c r="BA806" s="78"/>
      <c r="BB806" s="78"/>
      <c r="BC806" s="78"/>
      <c r="BD806" s="78"/>
    </row>
    <row r="807" ht="16.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78"/>
      <c r="AZ807" s="78"/>
      <c r="BA807" s="78"/>
      <c r="BB807" s="78"/>
      <c r="BC807" s="78"/>
      <c r="BD807" s="78"/>
    </row>
    <row r="808" ht="16.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78"/>
      <c r="AZ808" s="78"/>
      <c r="BA808" s="78"/>
      <c r="BB808" s="78"/>
      <c r="BC808" s="78"/>
      <c r="BD808" s="78"/>
    </row>
    <row r="809" ht="16.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78"/>
      <c r="AZ809" s="78"/>
      <c r="BA809" s="78"/>
      <c r="BB809" s="78"/>
      <c r="BC809" s="78"/>
      <c r="BD809" s="78"/>
    </row>
    <row r="810" ht="16.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78"/>
      <c r="AZ810" s="78"/>
      <c r="BA810" s="78"/>
      <c r="BB810" s="78"/>
      <c r="BC810" s="78"/>
      <c r="BD810" s="78"/>
    </row>
    <row r="811" ht="16.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78"/>
      <c r="AZ811" s="78"/>
      <c r="BA811" s="78"/>
      <c r="BB811" s="78"/>
      <c r="BC811" s="78"/>
      <c r="BD811" s="78"/>
    </row>
    <row r="812" ht="16.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78"/>
      <c r="AZ812" s="78"/>
      <c r="BA812" s="78"/>
      <c r="BB812" s="78"/>
      <c r="BC812" s="78"/>
      <c r="BD812" s="78"/>
    </row>
    <row r="813" ht="16.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78"/>
      <c r="AZ813" s="78"/>
      <c r="BA813" s="78"/>
      <c r="BB813" s="78"/>
      <c r="BC813" s="78"/>
      <c r="BD813" s="78"/>
    </row>
    <row r="814" ht="16.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78"/>
      <c r="AZ814" s="78"/>
      <c r="BA814" s="78"/>
      <c r="BB814" s="78"/>
      <c r="BC814" s="78"/>
      <c r="BD814" s="78"/>
    </row>
    <row r="815" ht="16.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78"/>
      <c r="AZ815" s="78"/>
      <c r="BA815" s="78"/>
      <c r="BB815" s="78"/>
      <c r="BC815" s="78"/>
      <c r="BD815" s="78"/>
    </row>
    <row r="816" ht="16.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78"/>
      <c r="AZ816" s="78"/>
      <c r="BA816" s="78"/>
      <c r="BB816" s="78"/>
      <c r="BC816" s="78"/>
      <c r="BD816" s="78"/>
    </row>
    <row r="817" ht="16.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78"/>
      <c r="AZ817" s="78"/>
      <c r="BA817" s="78"/>
      <c r="BB817" s="78"/>
      <c r="BC817" s="78"/>
      <c r="BD817" s="78"/>
    </row>
    <row r="818" ht="16.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78"/>
      <c r="AZ818" s="78"/>
      <c r="BA818" s="78"/>
      <c r="BB818" s="78"/>
      <c r="BC818" s="78"/>
      <c r="BD818" s="78"/>
    </row>
    <row r="819" ht="16.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78"/>
      <c r="AZ819" s="78"/>
      <c r="BA819" s="78"/>
      <c r="BB819" s="78"/>
      <c r="BC819" s="78"/>
      <c r="BD819" s="78"/>
    </row>
    <row r="820" ht="16.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78"/>
      <c r="AZ820" s="78"/>
      <c r="BA820" s="78"/>
      <c r="BB820" s="78"/>
      <c r="BC820" s="78"/>
      <c r="BD820" s="78"/>
    </row>
    <row r="821" ht="16.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78"/>
      <c r="AZ821" s="78"/>
      <c r="BA821" s="78"/>
      <c r="BB821" s="78"/>
      <c r="BC821" s="78"/>
      <c r="BD821" s="78"/>
    </row>
    <row r="822" ht="16.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78"/>
      <c r="AZ822" s="78"/>
      <c r="BA822" s="78"/>
      <c r="BB822" s="78"/>
      <c r="BC822" s="78"/>
      <c r="BD822" s="78"/>
    </row>
    <row r="823" ht="16.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78"/>
      <c r="AZ823" s="78"/>
      <c r="BA823" s="78"/>
      <c r="BB823" s="78"/>
      <c r="BC823" s="78"/>
      <c r="BD823" s="78"/>
    </row>
    <row r="824" ht="16.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78"/>
      <c r="AZ824" s="78"/>
      <c r="BA824" s="78"/>
      <c r="BB824" s="78"/>
      <c r="BC824" s="78"/>
      <c r="BD824" s="78"/>
    </row>
    <row r="825" ht="16.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78"/>
      <c r="AZ825" s="78"/>
      <c r="BA825" s="78"/>
      <c r="BB825" s="78"/>
      <c r="BC825" s="78"/>
      <c r="BD825" s="78"/>
    </row>
    <row r="826" ht="16.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78"/>
      <c r="AZ826" s="78"/>
      <c r="BA826" s="78"/>
      <c r="BB826" s="78"/>
      <c r="BC826" s="78"/>
      <c r="BD826" s="78"/>
    </row>
    <row r="827" ht="16.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78"/>
      <c r="AZ827" s="78"/>
      <c r="BA827" s="78"/>
      <c r="BB827" s="78"/>
      <c r="BC827" s="78"/>
      <c r="BD827" s="78"/>
    </row>
    <row r="828" ht="16.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78"/>
      <c r="AZ828" s="78"/>
      <c r="BA828" s="78"/>
      <c r="BB828" s="78"/>
      <c r="BC828" s="78"/>
      <c r="BD828" s="78"/>
    </row>
    <row r="829" ht="16.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78"/>
      <c r="AZ829" s="78"/>
      <c r="BA829" s="78"/>
      <c r="BB829" s="78"/>
      <c r="BC829" s="78"/>
      <c r="BD829" s="78"/>
    </row>
    <row r="830" ht="16.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78"/>
      <c r="AZ830" s="78"/>
      <c r="BA830" s="78"/>
      <c r="BB830" s="78"/>
      <c r="BC830" s="78"/>
      <c r="BD830" s="78"/>
    </row>
    <row r="831" ht="16.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78"/>
      <c r="AZ831" s="78"/>
      <c r="BA831" s="78"/>
      <c r="BB831" s="78"/>
      <c r="BC831" s="78"/>
      <c r="BD831" s="78"/>
    </row>
    <row r="832" ht="16.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78"/>
      <c r="AZ832" s="78"/>
      <c r="BA832" s="78"/>
      <c r="BB832" s="78"/>
      <c r="BC832" s="78"/>
      <c r="BD832" s="78"/>
    </row>
    <row r="833" ht="16.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78"/>
      <c r="AZ833" s="78"/>
      <c r="BA833" s="78"/>
      <c r="BB833" s="78"/>
      <c r="BC833" s="78"/>
      <c r="BD833" s="78"/>
    </row>
    <row r="834" ht="16.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78"/>
      <c r="AZ834" s="78"/>
      <c r="BA834" s="78"/>
      <c r="BB834" s="78"/>
      <c r="BC834" s="78"/>
      <c r="BD834" s="78"/>
    </row>
    <row r="835" ht="16.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78"/>
      <c r="AZ835" s="78"/>
      <c r="BA835" s="78"/>
      <c r="BB835" s="78"/>
      <c r="BC835" s="78"/>
      <c r="BD835" s="78"/>
    </row>
    <row r="836" ht="16.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78"/>
      <c r="AZ836" s="78"/>
      <c r="BA836" s="78"/>
      <c r="BB836" s="78"/>
      <c r="BC836" s="78"/>
      <c r="BD836" s="78"/>
    </row>
    <row r="837" ht="16.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78"/>
      <c r="AZ837" s="78"/>
      <c r="BA837" s="78"/>
      <c r="BB837" s="78"/>
      <c r="BC837" s="78"/>
      <c r="BD837" s="78"/>
    </row>
    <row r="838" ht="16.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78"/>
      <c r="AZ838" s="78"/>
      <c r="BA838" s="78"/>
      <c r="BB838" s="78"/>
      <c r="BC838" s="78"/>
      <c r="BD838" s="78"/>
    </row>
    <row r="839" ht="16.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78"/>
      <c r="AZ839" s="78"/>
      <c r="BA839" s="78"/>
      <c r="BB839" s="78"/>
      <c r="BC839" s="78"/>
      <c r="BD839" s="78"/>
    </row>
    <row r="840" ht="16.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78"/>
      <c r="AZ840" s="78"/>
      <c r="BA840" s="78"/>
      <c r="BB840" s="78"/>
      <c r="BC840" s="78"/>
      <c r="BD840" s="78"/>
    </row>
    <row r="841" ht="16.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78"/>
      <c r="AZ841" s="78"/>
      <c r="BA841" s="78"/>
      <c r="BB841" s="78"/>
      <c r="BC841" s="78"/>
      <c r="BD841" s="78"/>
    </row>
    <row r="842" ht="16.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78"/>
      <c r="AZ842" s="78"/>
      <c r="BA842" s="78"/>
      <c r="BB842" s="78"/>
      <c r="BC842" s="78"/>
      <c r="BD842" s="78"/>
    </row>
    <row r="843" ht="16.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</row>
    <row r="844" ht="16.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78"/>
      <c r="AZ844" s="78"/>
      <c r="BA844" s="78"/>
      <c r="BB844" s="78"/>
      <c r="BC844" s="78"/>
      <c r="BD844" s="78"/>
    </row>
    <row r="845" ht="16.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78"/>
      <c r="AZ845" s="78"/>
      <c r="BA845" s="78"/>
      <c r="BB845" s="78"/>
      <c r="BC845" s="78"/>
      <c r="BD845" s="78"/>
    </row>
    <row r="846" ht="16.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78"/>
      <c r="AZ846" s="78"/>
      <c r="BA846" s="78"/>
      <c r="BB846" s="78"/>
      <c r="BC846" s="78"/>
      <c r="BD846" s="78"/>
    </row>
    <row r="847" ht="16.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78"/>
      <c r="AZ847" s="78"/>
      <c r="BA847" s="78"/>
      <c r="BB847" s="78"/>
      <c r="BC847" s="78"/>
      <c r="BD847" s="78"/>
    </row>
    <row r="848" ht="16.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78"/>
      <c r="AZ848" s="78"/>
      <c r="BA848" s="78"/>
      <c r="BB848" s="78"/>
      <c r="BC848" s="78"/>
      <c r="BD848" s="78"/>
    </row>
    <row r="849" ht="16.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78"/>
      <c r="AZ849" s="78"/>
      <c r="BA849" s="78"/>
      <c r="BB849" s="78"/>
      <c r="BC849" s="78"/>
      <c r="BD849" s="78"/>
    </row>
    <row r="850" ht="16.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78"/>
      <c r="AZ850" s="78"/>
      <c r="BA850" s="78"/>
      <c r="BB850" s="78"/>
      <c r="BC850" s="78"/>
      <c r="BD850" s="78"/>
    </row>
    <row r="851" ht="16.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78"/>
      <c r="AZ851" s="78"/>
      <c r="BA851" s="78"/>
      <c r="BB851" s="78"/>
      <c r="BC851" s="78"/>
      <c r="BD851" s="78"/>
    </row>
    <row r="852" ht="16.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78"/>
      <c r="AZ852" s="78"/>
      <c r="BA852" s="78"/>
      <c r="BB852" s="78"/>
      <c r="BC852" s="78"/>
      <c r="BD852" s="78"/>
    </row>
    <row r="853" ht="16.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78"/>
      <c r="AZ853" s="78"/>
      <c r="BA853" s="78"/>
      <c r="BB853" s="78"/>
      <c r="BC853" s="78"/>
      <c r="BD853" s="78"/>
    </row>
    <row r="854" ht="16.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78"/>
      <c r="AZ854" s="78"/>
      <c r="BA854" s="78"/>
      <c r="BB854" s="78"/>
      <c r="BC854" s="78"/>
      <c r="BD854" s="78"/>
    </row>
    <row r="855" ht="16.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78"/>
      <c r="AZ855" s="78"/>
      <c r="BA855" s="78"/>
      <c r="BB855" s="78"/>
      <c r="BC855" s="78"/>
      <c r="BD855" s="78"/>
    </row>
    <row r="856" ht="16.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78"/>
      <c r="AZ856" s="78"/>
      <c r="BA856" s="78"/>
      <c r="BB856" s="78"/>
      <c r="BC856" s="78"/>
      <c r="BD856" s="78"/>
    </row>
    <row r="857" ht="16.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78"/>
      <c r="AZ857" s="78"/>
      <c r="BA857" s="78"/>
      <c r="BB857" s="78"/>
      <c r="BC857" s="78"/>
      <c r="BD857" s="78"/>
    </row>
    <row r="858" ht="16.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78"/>
      <c r="AZ858" s="78"/>
      <c r="BA858" s="78"/>
      <c r="BB858" s="78"/>
      <c r="BC858" s="78"/>
      <c r="BD858" s="78"/>
    </row>
    <row r="859" ht="16.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78"/>
      <c r="AZ859" s="78"/>
      <c r="BA859" s="78"/>
      <c r="BB859" s="78"/>
      <c r="BC859" s="78"/>
      <c r="BD859" s="78"/>
    </row>
    <row r="860" ht="16.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78"/>
      <c r="AZ860" s="78"/>
      <c r="BA860" s="78"/>
      <c r="BB860" s="78"/>
      <c r="BC860" s="78"/>
      <c r="BD860" s="78"/>
    </row>
    <row r="861" ht="16.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78"/>
      <c r="AZ861" s="78"/>
      <c r="BA861" s="78"/>
      <c r="BB861" s="78"/>
      <c r="BC861" s="78"/>
      <c r="BD861" s="78"/>
    </row>
    <row r="862" ht="16.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78"/>
      <c r="AZ862" s="78"/>
      <c r="BA862" s="78"/>
      <c r="BB862" s="78"/>
      <c r="BC862" s="78"/>
      <c r="BD862" s="78"/>
    </row>
    <row r="863" ht="16.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78"/>
      <c r="AZ863" s="78"/>
      <c r="BA863" s="78"/>
      <c r="BB863" s="78"/>
      <c r="BC863" s="78"/>
      <c r="BD863" s="78"/>
    </row>
    <row r="864" ht="16.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78"/>
      <c r="AZ864" s="78"/>
      <c r="BA864" s="78"/>
      <c r="BB864" s="78"/>
      <c r="BC864" s="78"/>
      <c r="BD864" s="78"/>
    </row>
    <row r="865" ht="16.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78"/>
      <c r="AZ865" s="78"/>
      <c r="BA865" s="78"/>
      <c r="BB865" s="78"/>
      <c r="BC865" s="78"/>
      <c r="BD865" s="78"/>
    </row>
    <row r="866" ht="16.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78"/>
      <c r="AZ866" s="78"/>
      <c r="BA866" s="78"/>
      <c r="BB866" s="78"/>
      <c r="BC866" s="78"/>
      <c r="BD866" s="78"/>
    </row>
    <row r="867" ht="16.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78"/>
      <c r="AZ867" s="78"/>
      <c r="BA867" s="78"/>
      <c r="BB867" s="78"/>
      <c r="BC867" s="78"/>
      <c r="BD867" s="78"/>
    </row>
    <row r="868" ht="16.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78"/>
      <c r="AZ868" s="78"/>
      <c r="BA868" s="78"/>
      <c r="BB868" s="78"/>
      <c r="BC868" s="78"/>
      <c r="BD868" s="78"/>
    </row>
    <row r="869" ht="16.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78"/>
      <c r="AZ869" s="78"/>
      <c r="BA869" s="78"/>
      <c r="BB869" s="78"/>
      <c r="BC869" s="78"/>
      <c r="BD869" s="78"/>
    </row>
    <row r="870" ht="16.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78"/>
      <c r="AZ870" s="78"/>
      <c r="BA870" s="78"/>
      <c r="BB870" s="78"/>
      <c r="BC870" s="78"/>
      <c r="BD870" s="78"/>
    </row>
    <row r="871" ht="16.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78"/>
      <c r="AZ871" s="78"/>
      <c r="BA871" s="78"/>
      <c r="BB871" s="78"/>
      <c r="BC871" s="78"/>
      <c r="BD871" s="78"/>
    </row>
    <row r="872" ht="16.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78"/>
      <c r="AZ872" s="78"/>
      <c r="BA872" s="78"/>
      <c r="BB872" s="78"/>
      <c r="BC872" s="78"/>
      <c r="BD872" s="78"/>
    </row>
    <row r="873" ht="16.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78"/>
      <c r="AZ873" s="78"/>
      <c r="BA873" s="78"/>
      <c r="BB873" s="78"/>
      <c r="BC873" s="78"/>
      <c r="BD873" s="78"/>
    </row>
    <row r="874" ht="16.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78"/>
      <c r="AZ874" s="78"/>
      <c r="BA874" s="78"/>
      <c r="BB874" s="78"/>
      <c r="BC874" s="78"/>
      <c r="BD874" s="78"/>
    </row>
    <row r="875" ht="16.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78"/>
      <c r="AZ875" s="78"/>
      <c r="BA875" s="78"/>
      <c r="BB875" s="78"/>
      <c r="BC875" s="78"/>
      <c r="BD875" s="78"/>
    </row>
    <row r="876" ht="16.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78"/>
      <c r="AZ876" s="78"/>
      <c r="BA876" s="78"/>
      <c r="BB876" s="78"/>
      <c r="BC876" s="78"/>
      <c r="BD876" s="78"/>
    </row>
    <row r="877" ht="16.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78"/>
      <c r="AZ877" s="78"/>
      <c r="BA877" s="78"/>
      <c r="BB877" s="78"/>
      <c r="BC877" s="78"/>
      <c r="BD877" s="78"/>
    </row>
    <row r="878" ht="16.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78"/>
      <c r="AZ878" s="78"/>
      <c r="BA878" s="78"/>
      <c r="BB878" s="78"/>
      <c r="BC878" s="78"/>
      <c r="BD878" s="78"/>
    </row>
    <row r="879" ht="16.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78"/>
      <c r="AZ879" s="78"/>
      <c r="BA879" s="78"/>
      <c r="BB879" s="78"/>
      <c r="BC879" s="78"/>
      <c r="BD879" s="78"/>
    </row>
    <row r="880" ht="16.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78"/>
      <c r="AZ880" s="78"/>
      <c r="BA880" s="78"/>
      <c r="BB880" s="78"/>
      <c r="BC880" s="78"/>
      <c r="BD880" s="78"/>
    </row>
    <row r="881" ht="16.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78"/>
      <c r="AZ881" s="78"/>
      <c r="BA881" s="78"/>
      <c r="BB881" s="78"/>
      <c r="BC881" s="78"/>
      <c r="BD881" s="78"/>
    </row>
    <row r="882" ht="16.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78"/>
      <c r="AZ882" s="78"/>
      <c r="BA882" s="78"/>
      <c r="BB882" s="78"/>
      <c r="BC882" s="78"/>
      <c r="BD882" s="78"/>
    </row>
    <row r="883" ht="16.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</row>
    <row r="884" ht="16.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78"/>
      <c r="AZ884" s="78"/>
      <c r="BA884" s="78"/>
      <c r="BB884" s="78"/>
      <c r="BC884" s="78"/>
      <c r="BD884" s="78"/>
    </row>
    <row r="885" ht="16.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78"/>
      <c r="AZ885" s="78"/>
      <c r="BA885" s="78"/>
      <c r="BB885" s="78"/>
      <c r="BC885" s="78"/>
      <c r="BD885" s="78"/>
    </row>
    <row r="886" ht="16.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78"/>
      <c r="AZ886" s="78"/>
      <c r="BA886" s="78"/>
      <c r="BB886" s="78"/>
      <c r="BC886" s="78"/>
      <c r="BD886" s="78"/>
    </row>
    <row r="887" ht="16.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78"/>
      <c r="AZ887" s="78"/>
      <c r="BA887" s="78"/>
      <c r="BB887" s="78"/>
      <c r="BC887" s="78"/>
      <c r="BD887" s="78"/>
    </row>
    <row r="888" ht="16.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78"/>
      <c r="AZ888" s="78"/>
      <c r="BA888" s="78"/>
      <c r="BB888" s="78"/>
      <c r="BC888" s="78"/>
      <c r="BD888" s="78"/>
    </row>
    <row r="889" ht="16.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78"/>
      <c r="AZ889" s="78"/>
      <c r="BA889" s="78"/>
      <c r="BB889" s="78"/>
      <c r="BC889" s="78"/>
      <c r="BD889" s="78"/>
    </row>
    <row r="890" ht="16.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78"/>
      <c r="AZ890" s="78"/>
      <c r="BA890" s="78"/>
      <c r="BB890" s="78"/>
      <c r="BC890" s="78"/>
      <c r="BD890" s="78"/>
    </row>
    <row r="891" ht="16.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78"/>
      <c r="AZ891" s="78"/>
      <c r="BA891" s="78"/>
      <c r="BB891" s="78"/>
      <c r="BC891" s="78"/>
      <c r="BD891" s="78"/>
    </row>
    <row r="892" ht="16.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78"/>
      <c r="AZ892" s="78"/>
      <c r="BA892" s="78"/>
      <c r="BB892" s="78"/>
      <c r="BC892" s="78"/>
      <c r="BD892" s="78"/>
    </row>
    <row r="893" ht="16.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78"/>
      <c r="AZ893" s="78"/>
      <c r="BA893" s="78"/>
      <c r="BB893" s="78"/>
      <c r="BC893" s="78"/>
      <c r="BD893" s="78"/>
    </row>
    <row r="894" ht="16.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78"/>
      <c r="AZ894" s="78"/>
      <c r="BA894" s="78"/>
      <c r="BB894" s="78"/>
      <c r="BC894" s="78"/>
      <c r="BD894" s="78"/>
    </row>
    <row r="895" ht="16.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78"/>
      <c r="AZ895" s="78"/>
      <c r="BA895" s="78"/>
      <c r="BB895" s="78"/>
      <c r="BC895" s="78"/>
      <c r="BD895" s="78"/>
    </row>
    <row r="896" ht="16.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78"/>
      <c r="AZ896" s="78"/>
      <c r="BA896" s="78"/>
      <c r="BB896" s="78"/>
      <c r="BC896" s="78"/>
      <c r="BD896" s="78"/>
    </row>
    <row r="897" ht="16.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78"/>
      <c r="AZ897" s="78"/>
      <c r="BA897" s="78"/>
      <c r="BB897" s="78"/>
      <c r="BC897" s="78"/>
      <c r="BD897" s="78"/>
    </row>
    <row r="898" ht="16.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78"/>
      <c r="AZ898" s="78"/>
      <c r="BA898" s="78"/>
      <c r="BB898" s="78"/>
      <c r="BC898" s="78"/>
      <c r="BD898" s="78"/>
    </row>
    <row r="899" ht="16.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78"/>
      <c r="AZ899" s="78"/>
      <c r="BA899" s="78"/>
      <c r="BB899" s="78"/>
      <c r="BC899" s="78"/>
      <c r="BD899" s="78"/>
    </row>
    <row r="900" ht="16.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78"/>
      <c r="AZ900" s="78"/>
      <c r="BA900" s="78"/>
      <c r="BB900" s="78"/>
      <c r="BC900" s="78"/>
      <c r="BD900" s="78"/>
    </row>
    <row r="901" ht="16.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78"/>
      <c r="AZ901" s="78"/>
      <c r="BA901" s="78"/>
      <c r="BB901" s="78"/>
      <c r="BC901" s="78"/>
      <c r="BD901" s="78"/>
    </row>
    <row r="902" ht="16.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78"/>
      <c r="AZ902" s="78"/>
      <c r="BA902" s="78"/>
      <c r="BB902" s="78"/>
      <c r="BC902" s="78"/>
      <c r="BD902" s="78"/>
    </row>
    <row r="903" ht="16.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78"/>
      <c r="AZ903" s="78"/>
      <c r="BA903" s="78"/>
      <c r="BB903" s="78"/>
      <c r="BC903" s="78"/>
      <c r="BD903" s="78"/>
    </row>
    <row r="904" ht="16.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78"/>
      <c r="AZ904" s="78"/>
      <c r="BA904" s="78"/>
      <c r="BB904" s="78"/>
      <c r="BC904" s="78"/>
      <c r="BD904" s="78"/>
    </row>
    <row r="905" ht="16.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78"/>
      <c r="AZ905" s="78"/>
      <c r="BA905" s="78"/>
      <c r="BB905" s="78"/>
      <c r="BC905" s="78"/>
      <c r="BD905" s="78"/>
    </row>
    <row r="906" ht="16.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78"/>
      <c r="AZ906" s="78"/>
      <c r="BA906" s="78"/>
      <c r="BB906" s="78"/>
      <c r="BC906" s="78"/>
      <c r="BD906" s="78"/>
    </row>
    <row r="907" ht="16.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78"/>
      <c r="AZ907" s="78"/>
      <c r="BA907" s="78"/>
      <c r="BB907" s="78"/>
      <c r="BC907" s="78"/>
      <c r="BD907" s="78"/>
    </row>
    <row r="908" ht="16.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78"/>
      <c r="AZ908" s="78"/>
      <c r="BA908" s="78"/>
      <c r="BB908" s="78"/>
      <c r="BC908" s="78"/>
      <c r="BD908" s="78"/>
    </row>
    <row r="909" ht="16.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78"/>
      <c r="AZ909" s="78"/>
      <c r="BA909" s="78"/>
      <c r="BB909" s="78"/>
      <c r="BC909" s="78"/>
      <c r="BD909" s="78"/>
    </row>
    <row r="910" ht="16.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78"/>
      <c r="AZ910" s="78"/>
      <c r="BA910" s="78"/>
      <c r="BB910" s="78"/>
      <c r="BC910" s="78"/>
      <c r="BD910" s="78"/>
    </row>
    <row r="911" ht="16.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78"/>
      <c r="AZ911" s="78"/>
      <c r="BA911" s="78"/>
      <c r="BB911" s="78"/>
      <c r="BC911" s="78"/>
      <c r="BD911" s="78"/>
    </row>
    <row r="912" ht="16.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78"/>
      <c r="AZ912" s="78"/>
      <c r="BA912" s="78"/>
      <c r="BB912" s="78"/>
      <c r="BC912" s="78"/>
      <c r="BD912" s="78"/>
    </row>
    <row r="913" ht="16.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78"/>
      <c r="AZ913" s="78"/>
      <c r="BA913" s="78"/>
      <c r="BB913" s="78"/>
      <c r="BC913" s="78"/>
      <c r="BD913" s="78"/>
    </row>
    <row r="914" ht="16.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78"/>
      <c r="AZ914" s="78"/>
      <c r="BA914" s="78"/>
      <c r="BB914" s="78"/>
      <c r="BC914" s="78"/>
      <c r="BD914" s="78"/>
    </row>
    <row r="915" ht="16.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78"/>
      <c r="AZ915" s="78"/>
      <c r="BA915" s="78"/>
      <c r="BB915" s="78"/>
      <c r="BC915" s="78"/>
      <c r="BD915" s="78"/>
    </row>
    <row r="916" ht="16.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78"/>
      <c r="AZ916" s="78"/>
      <c r="BA916" s="78"/>
      <c r="BB916" s="78"/>
      <c r="BC916" s="78"/>
      <c r="BD916" s="78"/>
    </row>
    <row r="917" ht="16.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78"/>
      <c r="AZ917" s="78"/>
      <c r="BA917" s="78"/>
      <c r="BB917" s="78"/>
      <c r="BC917" s="78"/>
      <c r="BD917" s="78"/>
    </row>
    <row r="918" ht="16.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78"/>
      <c r="AZ918" s="78"/>
      <c r="BA918" s="78"/>
      <c r="BB918" s="78"/>
      <c r="BC918" s="78"/>
      <c r="BD918" s="78"/>
    </row>
    <row r="919" ht="16.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78"/>
      <c r="AZ919" s="78"/>
      <c r="BA919" s="78"/>
      <c r="BB919" s="78"/>
      <c r="BC919" s="78"/>
      <c r="BD919" s="78"/>
    </row>
    <row r="920" ht="16.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78"/>
      <c r="AZ920" s="78"/>
      <c r="BA920" s="78"/>
      <c r="BB920" s="78"/>
      <c r="BC920" s="78"/>
      <c r="BD920" s="78"/>
    </row>
    <row r="921" ht="16.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78"/>
      <c r="AZ921" s="78"/>
      <c r="BA921" s="78"/>
      <c r="BB921" s="78"/>
      <c r="BC921" s="78"/>
      <c r="BD921" s="78"/>
    </row>
    <row r="922" ht="16.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78"/>
      <c r="AZ922" s="78"/>
      <c r="BA922" s="78"/>
      <c r="BB922" s="78"/>
      <c r="BC922" s="78"/>
      <c r="BD922" s="78"/>
    </row>
    <row r="923" ht="16.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</row>
    <row r="924" ht="16.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78"/>
      <c r="AZ924" s="78"/>
      <c r="BA924" s="78"/>
      <c r="BB924" s="78"/>
      <c r="BC924" s="78"/>
      <c r="BD924" s="78"/>
    </row>
    <row r="925" ht="16.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78"/>
      <c r="AZ925" s="78"/>
      <c r="BA925" s="78"/>
      <c r="BB925" s="78"/>
      <c r="BC925" s="78"/>
      <c r="BD925" s="78"/>
    </row>
    <row r="926" ht="16.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78"/>
      <c r="AZ926" s="78"/>
      <c r="BA926" s="78"/>
      <c r="BB926" s="78"/>
      <c r="BC926" s="78"/>
      <c r="BD926" s="78"/>
    </row>
    <row r="927" ht="16.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78"/>
      <c r="AZ927" s="78"/>
      <c r="BA927" s="78"/>
      <c r="BB927" s="78"/>
      <c r="BC927" s="78"/>
      <c r="BD927" s="78"/>
    </row>
    <row r="928" ht="16.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78"/>
      <c r="AZ928" s="78"/>
      <c r="BA928" s="78"/>
      <c r="BB928" s="78"/>
      <c r="BC928" s="78"/>
      <c r="BD928" s="78"/>
    </row>
    <row r="929" ht="16.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78"/>
      <c r="AZ929" s="78"/>
      <c r="BA929" s="78"/>
      <c r="BB929" s="78"/>
      <c r="BC929" s="78"/>
      <c r="BD929" s="78"/>
    </row>
    <row r="930" ht="16.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78"/>
      <c r="AZ930" s="78"/>
      <c r="BA930" s="78"/>
      <c r="BB930" s="78"/>
      <c r="BC930" s="78"/>
      <c r="BD930" s="78"/>
    </row>
    <row r="931" ht="16.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78"/>
      <c r="AZ931" s="78"/>
      <c r="BA931" s="78"/>
      <c r="BB931" s="78"/>
      <c r="BC931" s="78"/>
      <c r="BD931" s="78"/>
    </row>
    <row r="932" ht="16.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78"/>
      <c r="AZ932" s="78"/>
      <c r="BA932" s="78"/>
      <c r="BB932" s="78"/>
      <c r="BC932" s="78"/>
      <c r="BD932" s="78"/>
    </row>
    <row r="933" ht="16.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78"/>
      <c r="AZ933" s="78"/>
      <c r="BA933" s="78"/>
      <c r="BB933" s="78"/>
      <c r="BC933" s="78"/>
      <c r="BD933" s="78"/>
    </row>
    <row r="934" ht="16.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78"/>
      <c r="AZ934" s="78"/>
      <c r="BA934" s="78"/>
      <c r="BB934" s="78"/>
      <c r="BC934" s="78"/>
      <c r="BD934" s="78"/>
    </row>
    <row r="935" ht="16.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78"/>
      <c r="AZ935" s="78"/>
      <c r="BA935" s="78"/>
      <c r="BB935" s="78"/>
      <c r="BC935" s="78"/>
      <c r="BD935" s="78"/>
    </row>
    <row r="936" ht="16.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78"/>
      <c r="AZ936" s="78"/>
      <c r="BA936" s="78"/>
      <c r="BB936" s="78"/>
      <c r="BC936" s="78"/>
      <c r="BD936" s="78"/>
    </row>
    <row r="937" ht="16.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78"/>
      <c r="AZ937" s="78"/>
      <c r="BA937" s="78"/>
      <c r="BB937" s="78"/>
      <c r="BC937" s="78"/>
      <c r="BD937" s="78"/>
    </row>
    <row r="938" ht="16.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78"/>
      <c r="AZ938" s="78"/>
      <c r="BA938" s="78"/>
      <c r="BB938" s="78"/>
      <c r="BC938" s="78"/>
      <c r="BD938" s="78"/>
    </row>
    <row r="939" ht="16.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78"/>
      <c r="AZ939" s="78"/>
      <c r="BA939" s="78"/>
      <c r="BB939" s="78"/>
      <c r="BC939" s="78"/>
      <c r="BD939" s="78"/>
    </row>
    <row r="940" ht="16.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78"/>
      <c r="AZ940" s="78"/>
      <c r="BA940" s="78"/>
      <c r="BB940" s="78"/>
      <c r="BC940" s="78"/>
      <c r="BD940" s="78"/>
    </row>
    <row r="941" ht="16.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78"/>
      <c r="AZ941" s="78"/>
      <c r="BA941" s="78"/>
      <c r="BB941" s="78"/>
      <c r="BC941" s="78"/>
      <c r="BD941" s="78"/>
    </row>
    <row r="942" ht="16.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78"/>
      <c r="AZ942" s="78"/>
      <c r="BA942" s="78"/>
      <c r="BB942" s="78"/>
      <c r="BC942" s="78"/>
      <c r="BD942" s="78"/>
    </row>
    <row r="943" ht="16.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78"/>
      <c r="AZ943" s="78"/>
      <c r="BA943" s="78"/>
      <c r="BB943" s="78"/>
      <c r="BC943" s="78"/>
      <c r="BD943" s="78"/>
    </row>
    <row r="944" ht="16.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78"/>
      <c r="AZ944" s="78"/>
      <c r="BA944" s="78"/>
      <c r="BB944" s="78"/>
      <c r="BC944" s="78"/>
      <c r="BD944" s="78"/>
    </row>
    <row r="945" ht="16.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78"/>
      <c r="AZ945" s="78"/>
      <c r="BA945" s="78"/>
      <c r="BB945" s="78"/>
      <c r="BC945" s="78"/>
      <c r="BD945" s="78"/>
    </row>
    <row r="946" ht="16.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78"/>
      <c r="AZ946" s="78"/>
      <c r="BA946" s="78"/>
      <c r="BB946" s="78"/>
      <c r="BC946" s="78"/>
      <c r="BD946" s="78"/>
    </row>
    <row r="947" ht="16.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78"/>
      <c r="AZ947" s="78"/>
      <c r="BA947" s="78"/>
      <c r="BB947" s="78"/>
      <c r="BC947" s="78"/>
      <c r="BD947" s="78"/>
    </row>
    <row r="948" ht="16.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78"/>
      <c r="AZ948" s="78"/>
      <c r="BA948" s="78"/>
      <c r="BB948" s="78"/>
      <c r="BC948" s="78"/>
      <c r="BD948" s="78"/>
    </row>
    <row r="949" ht="16.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78"/>
      <c r="AZ949" s="78"/>
      <c r="BA949" s="78"/>
      <c r="BB949" s="78"/>
      <c r="BC949" s="78"/>
      <c r="BD949" s="78"/>
    </row>
    <row r="950" ht="16.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78"/>
      <c r="AZ950" s="78"/>
      <c r="BA950" s="78"/>
      <c r="BB950" s="78"/>
      <c r="BC950" s="78"/>
      <c r="BD950" s="78"/>
    </row>
    <row r="951" ht="16.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78"/>
      <c r="AZ951" s="78"/>
      <c r="BA951" s="78"/>
      <c r="BB951" s="78"/>
      <c r="BC951" s="78"/>
      <c r="BD951" s="78"/>
    </row>
    <row r="952" ht="16.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78"/>
      <c r="AZ952" s="78"/>
      <c r="BA952" s="78"/>
      <c r="BB952" s="78"/>
      <c r="BC952" s="78"/>
      <c r="BD952" s="78"/>
    </row>
    <row r="953" ht="16.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78"/>
      <c r="AZ953" s="78"/>
      <c r="BA953" s="78"/>
      <c r="BB953" s="78"/>
      <c r="BC953" s="78"/>
      <c r="BD953" s="78"/>
    </row>
    <row r="954" ht="16.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78"/>
      <c r="AZ954" s="78"/>
      <c r="BA954" s="78"/>
      <c r="BB954" s="78"/>
      <c r="BC954" s="78"/>
      <c r="BD954" s="78"/>
    </row>
    <row r="955" ht="16.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78"/>
      <c r="AZ955" s="78"/>
      <c r="BA955" s="78"/>
      <c r="BB955" s="78"/>
      <c r="BC955" s="78"/>
      <c r="BD955" s="78"/>
    </row>
    <row r="956" ht="16.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78"/>
      <c r="AZ956" s="78"/>
      <c r="BA956" s="78"/>
      <c r="BB956" s="78"/>
      <c r="BC956" s="78"/>
      <c r="BD956" s="78"/>
    </row>
    <row r="957" ht="16.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78"/>
      <c r="AZ957" s="78"/>
      <c r="BA957" s="78"/>
      <c r="BB957" s="78"/>
      <c r="BC957" s="78"/>
      <c r="BD957" s="78"/>
    </row>
    <row r="958" ht="16.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78"/>
      <c r="AZ958" s="78"/>
      <c r="BA958" s="78"/>
      <c r="BB958" s="78"/>
      <c r="BC958" s="78"/>
      <c r="BD958" s="78"/>
    </row>
    <row r="959" ht="16.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78"/>
      <c r="AZ959" s="78"/>
      <c r="BA959" s="78"/>
      <c r="BB959" s="78"/>
      <c r="BC959" s="78"/>
      <c r="BD959" s="78"/>
    </row>
    <row r="960" ht="16.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78"/>
      <c r="AZ960" s="78"/>
      <c r="BA960" s="78"/>
      <c r="BB960" s="78"/>
      <c r="BC960" s="78"/>
      <c r="BD960" s="78"/>
    </row>
    <row r="961" ht="16.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78"/>
      <c r="AZ961" s="78"/>
      <c r="BA961" s="78"/>
      <c r="BB961" s="78"/>
      <c r="BC961" s="78"/>
      <c r="BD961" s="78"/>
    </row>
    <row r="962" ht="16.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78"/>
      <c r="AZ962" s="78"/>
      <c r="BA962" s="78"/>
      <c r="BB962" s="78"/>
      <c r="BC962" s="78"/>
      <c r="BD962" s="78"/>
    </row>
    <row r="963" ht="16.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78"/>
      <c r="AZ963" s="78"/>
      <c r="BA963" s="78"/>
      <c r="BB963" s="78"/>
      <c r="BC963" s="78"/>
      <c r="BD963" s="78"/>
    </row>
    <row r="964" ht="16.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78"/>
      <c r="AZ964" s="78"/>
      <c r="BA964" s="78"/>
      <c r="BB964" s="78"/>
      <c r="BC964" s="78"/>
      <c r="BD964" s="78"/>
    </row>
    <row r="965" ht="16.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78"/>
      <c r="AZ965" s="78"/>
      <c r="BA965" s="78"/>
      <c r="BB965" s="78"/>
      <c r="BC965" s="78"/>
      <c r="BD965" s="78"/>
    </row>
    <row r="966" ht="16.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78"/>
      <c r="AZ966" s="78"/>
      <c r="BA966" s="78"/>
      <c r="BB966" s="78"/>
      <c r="BC966" s="78"/>
      <c r="BD966" s="78"/>
    </row>
    <row r="967" ht="16.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78"/>
      <c r="AZ967" s="78"/>
      <c r="BA967" s="78"/>
      <c r="BB967" s="78"/>
      <c r="BC967" s="78"/>
      <c r="BD967" s="78"/>
    </row>
    <row r="968" ht="16.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78"/>
      <c r="AZ968" s="78"/>
      <c r="BA968" s="78"/>
      <c r="BB968" s="78"/>
      <c r="BC968" s="78"/>
      <c r="BD968" s="78"/>
    </row>
    <row r="969" ht="16.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78"/>
      <c r="AZ969" s="78"/>
      <c r="BA969" s="78"/>
      <c r="BB969" s="78"/>
      <c r="BC969" s="78"/>
      <c r="BD969" s="78"/>
    </row>
    <row r="970" ht="16.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78"/>
      <c r="AZ970" s="78"/>
      <c r="BA970" s="78"/>
      <c r="BB970" s="78"/>
      <c r="BC970" s="78"/>
      <c r="BD970" s="78"/>
    </row>
    <row r="971" ht="16.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78"/>
      <c r="AZ971" s="78"/>
      <c r="BA971" s="78"/>
      <c r="BB971" s="78"/>
      <c r="BC971" s="78"/>
      <c r="BD971" s="78"/>
    </row>
    <row r="972" ht="16.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78"/>
      <c r="AZ972" s="78"/>
      <c r="BA972" s="78"/>
      <c r="BB972" s="78"/>
      <c r="BC972" s="78"/>
      <c r="BD972" s="78"/>
    </row>
    <row r="973" ht="16.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78"/>
      <c r="AZ973" s="78"/>
      <c r="BA973" s="78"/>
      <c r="BB973" s="78"/>
      <c r="BC973" s="78"/>
      <c r="BD973" s="78"/>
    </row>
    <row r="974" ht="16.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78"/>
      <c r="AZ974" s="78"/>
      <c r="BA974" s="78"/>
      <c r="BB974" s="78"/>
      <c r="BC974" s="78"/>
      <c r="BD974" s="78"/>
    </row>
    <row r="975" ht="16.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78"/>
      <c r="AZ975" s="78"/>
      <c r="BA975" s="78"/>
      <c r="BB975" s="78"/>
      <c r="BC975" s="78"/>
      <c r="BD975" s="78"/>
    </row>
    <row r="976" ht="16.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78"/>
      <c r="AZ976" s="78"/>
      <c r="BA976" s="78"/>
      <c r="BB976" s="78"/>
      <c r="BC976" s="78"/>
      <c r="BD976" s="78"/>
    </row>
    <row r="977" ht="16.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78"/>
      <c r="AZ977" s="78"/>
      <c r="BA977" s="78"/>
      <c r="BB977" s="78"/>
      <c r="BC977" s="78"/>
      <c r="BD977" s="78"/>
    </row>
    <row r="978" ht="16.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78"/>
      <c r="AZ978" s="78"/>
      <c r="BA978" s="78"/>
      <c r="BB978" s="78"/>
      <c r="BC978" s="78"/>
      <c r="BD978" s="78"/>
    </row>
    <row r="979" ht="16.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78"/>
      <c r="AZ979" s="78"/>
      <c r="BA979" s="78"/>
      <c r="BB979" s="78"/>
      <c r="BC979" s="78"/>
      <c r="BD979" s="78"/>
    </row>
    <row r="980" ht="16.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78"/>
      <c r="AZ980" s="78"/>
      <c r="BA980" s="78"/>
      <c r="BB980" s="78"/>
      <c r="BC980" s="78"/>
      <c r="BD980" s="78"/>
    </row>
    <row r="981" ht="16.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78"/>
      <c r="AZ981" s="78"/>
      <c r="BA981" s="78"/>
      <c r="BB981" s="78"/>
      <c r="BC981" s="78"/>
      <c r="BD981" s="78"/>
    </row>
    <row r="982" ht="16.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78"/>
      <c r="AZ982" s="78"/>
      <c r="BA982" s="78"/>
      <c r="BB982" s="78"/>
      <c r="BC982" s="78"/>
      <c r="BD982" s="78"/>
    </row>
    <row r="983" ht="16.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78"/>
      <c r="AZ983" s="78"/>
      <c r="BA983" s="78"/>
      <c r="BB983" s="78"/>
      <c r="BC983" s="78"/>
      <c r="BD983" s="78"/>
    </row>
    <row r="984" ht="16.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78"/>
      <c r="AZ984" s="78"/>
      <c r="BA984" s="78"/>
      <c r="BB984" s="78"/>
      <c r="BC984" s="78"/>
      <c r="BD984" s="78"/>
    </row>
    <row r="985" ht="16.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78"/>
      <c r="AZ985" s="78"/>
      <c r="BA985" s="78"/>
      <c r="BB985" s="78"/>
      <c r="BC985" s="78"/>
      <c r="BD985" s="78"/>
    </row>
    <row r="986" ht="16.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78"/>
      <c r="AZ986" s="78"/>
      <c r="BA986" s="78"/>
      <c r="BB986" s="78"/>
      <c r="BC986" s="78"/>
      <c r="BD986" s="78"/>
    </row>
    <row r="987" ht="16.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78"/>
      <c r="AZ987" s="78"/>
      <c r="BA987" s="78"/>
      <c r="BB987" s="78"/>
      <c r="BC987" s="78"/>
      <c r="BD987" s="78"/>
    </row>
    <row r="988" ht="16.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78"/>
      <c r="AZ988" s="78"/>
      <c r="BA988" s="78"/>
      <c r="BB988" s="78"/>
      <c r="BC988" s="78"/>
      <c r="BD988" s="78"/>
    </row>
    <row r="989" ht="16.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78"/>
      <c r="AZ989" s="78"/>
      <c r="BA989" s="78"/>
      <c r="BB989" s="78"/>
      <c r="BC989" s="78"/>
      <c r="BD989" s="78"/>
    </row>
    <row r="990" ht="16.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78"/>
      <c r="AZ990" s="78"/>
      <c r="BA990" s="78"/>
      <c r="BB990" s="78"/>
      <c r="BC990" s="78"/>
      <c r="BD990" s="78"/>
    </row>
    <row r="991" ht="16.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78"/>
      <c r="AZ991" s="78"/>
      <c r="BA991" s="78"/>
      <c r="BB991" s="78"/>
      <c r="BC991" s="78"/>
      <c r="BD991" s="78"/>
    </row>
    <row r="992" ht="16.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78"/>
      <c r="AZ992" s="78"/>
      <c r="BA992" s="78"/>
      <c r="BB992" s="78"/>
      <c r="BC992" s="78"/>
      <c r="BD992" s="78"/>
    </row>
    <row r="993" ht="16.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78"/>
      <c r="AZ993" s="78"/>
      <c r="BA993" s="78"/>
      <c r="BB993" s="78"/>
      <c r="BC993" s="78"/>
      <c r="BD993" s="78"/>
    </row>
    <row r="994" ht="16.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78"/>
      <c r="AZ994" s="78"/>
      <c r="BA994" s="78"/>
      <c r="BB994" s="78"/>
      <c r="BC994" s="78"/>
      <c r="BD994" s="78"/>
    </row>
    <row r="995" ht="16.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78"/>
      <c r="AZ995" s="78"/>
      <c r="BA995" s="78"/>
      <c r="BB995" s="78"/>
      <c r="BC995" s="78"/>
      <c r="BD995" s="78"/>
    </row>
    <row r="996" ht="16.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78"/>
      <c r="AZ996" s="78"/>
      <c r="BA996" s="78"/>
      <c r="BB996" s="78"/>
      <c r="BC996" s="78"/>
      <c r="BD996" s="78"/>
    </row>
    <row r="997" ht="16.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78"/>
      <c r="AZ997" s="78"/>
      <c r="BA997" s="78"/>
      <c r="BB997" s="78"/>
      <c r="BC997" s="78"/>
      <c r="BD997" s="78"/>
    </row>
    <row r="998" ht="16.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78"/>
      <c r="AZ998" s="78"/>
      <c r="BA998" s="78"/>
      <c r="BB998" s="78"/>
      <c r="BC998" s="78"/>
      <c r="BD998" s="78"/>
    </row>
    <row r="999" ht="16.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78"/>
      <c r="AZ999" s="78"/>
      <c r="BA999" s="78"/>
      <c r="BB999" s="78"/>
      <c r="BC999" s="78"/>
      <c r="BD999" s="78"/>
    </row>
    <row r="1000" ht="16.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78"/>
      <c r="AZ1000" s="78"/>
      <c r="BA1000" s="78"/>
      <c r="BB1000" s="78"/>
      <c r="BC1000" s="78"/>
      <c r="BD1000" s="78"/>
    </row>
  </sheetData>
  <conditionalFormatting sqref="E7:BB7">
    <cfRule type="cellIs" dxfId="0" priority="1" operator="equal">
      <formula>1</formula>
    </cfRule>
  </conditionalFormatting>
  <conditionalFormatting sqref="E8:BB8">
    <cfRule type="cellIs" dxfId="0" priority="2" operator="less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D2D2"/>
    <pageSetUpPr/>
  </sheetPr>
  <sheetViews>
    <sheetView workbookViewId="0"/>
  </sheetViews>
  <sheetFormatPr customHeight="1" defaultColWidth="12.63" defaultRowHeight="15.0"/>
  <cols>
    <col customWidth="1" min="1" max="55" width="10.63"/>
  </cols>
  <sheetData>
    <row r="1" ht="16.5" customHeight="1">
      <c r="A1" s="95" t="s">
        <v>75</v>
      </c>
      <c r="B1" s="95" t="s">
        <v>76</v>
      </c>
      <c r="D1" s="95" t="s">
        <v>77</v>
      </c>
    </row>
    <row r="2" ht="16.5" customHeight="1">
      <c r="A2" s="95">
        <v>0.0</v>
      </c>
      <c r="B2" s="95">
        <v>1.0</v>
      </c>
      <c r="D2" s="95" t="s">
        <v>78</v>
      </c>
    </row>
    <row r="3" ht="16.5" customHeight="1">
      <c r="A3" s="95">
        <v>1.0</v>
      </c>
      <c r="B3" s="95">
        <v>0.992</v>
      </c>
      <c r="D3" s="95" t="s">
        <v>79</v>
      </c>
    </row>
    <row r="4" ht="16.5" customHeight="1">
      <c r="A4" s="95">
        <v>2.0</v>
      </c>
      <c r="B4" s="95">
        <v>0.984</v>
      </c>
      <c r="D4" s="95" t="s">
        <v>80</v>
      </c>
    </row>
    <row r="5" ht="16.5" customHeight="1">
      <c r="A5" s="95">
        <v>3.0</v>
      </c>
      <c r="B5" s="95">
        <v>0.976</v>
      </c>
    </row>
    <row r="6" ht="16.5" customHeight="1">
      <c r="A6" s="95">
        <v>4.0</v>
      </c>
      <c r="B6" s="95">
        <v>0.969</v>
      </c>
      <c r="D6" s="95" t="str">
        <f t="array" ref="D6:BC7">TRANSPOSE(A1:B52)</f>
        <v>Années</v>
      </c>
      <c r="E6" s="95">
        <v>0.0</v>
      </c>
      <c r="F6" s="95">
        <v>1.0</v>
      </c>
      <c r="G6" s="95">
        <v>2.0</v>
      </c>
      <c r="H6" s="95">
        <v>3.0</v>
      </c>
      <c r="I6" s="95">
        <v>4.0</v>
      </c>
      <c r="J6" s="95">
        <v>5.0</v>
      </c>
      <c r="K6" s="95">
        <v>6.0</v>
      </c>
      <c r="L6" s="95">
        <v>7.0</v>
      </c>
      <c r="M6" s="95">
        <v>8.0</v>
      </c>
      <c r="N6" s="95">
        <v>9.0</v>
      </c>
      <c r="O6" s="95">
        <v>10.0</v>
      </c>
      <c r="P6" s="95">
        <v>11.0</v>
      </c>
      <c r="Q6" s="95">
        <v>12.0</v>
      </c>
      <c r="R6" s="95">
        <v>13.0</v>
      </c>
      <c r="S6" s="95">
        <v>14.0</v>
      </c>
      <c r="T6" s="95">
        <v>15.0</v>
      </c>
      <c r="U6" s="95">
        <v>16.0</v>
      </c>
      <c r="V6" s="95">
        <v>17.0</v>
      </c>
      <c r="W6" s="95">
        <v>18.0</v>
      </c>
      <c r="X6" s="95">
        <v>19.0</v>
      </c>
      <c r="Y6" s="95">
        <v>20.0</v>
      </c>
      <c r="Z6" s="95">
        <v>21.0</v>
      </c>
      <c r="AA6" s="95">
        <v>22.0</v>
      </c>
      <c r="AB6" s="95">
        <v>23.0</v>
      </c>
      <c r="AC6" s="95">
        <v>24.0</v>
      </c>
      <c r="AD6" s="95">
        <v>25.0</v>
      </c>
      <c r="AE6" s="95">
        <v>26.0</v>
      </c>
      <c r="AF6" s="95">
        <v>27.0</v>
      </c>
      <c r="AG6" s="95">
        <v>28.0</v>
      </c>
      <c r="AH6" s="95">
        <v>29.0</v>
      </c>
      <c r="AI6" s="95">
        <v>30.0</v>
      </c>
      <c r="AJ6" s="95">
        <v>31.0</v>
      </c>
      <c r="AK6" s="95">
        <v>32.0</v>
      </c>
      <c r="AL6" s="95">
        <v>33.0</v>
      </c>
      <c r="AM6" s="95">
        <v>34.0</v>
      </c>
      <c r="AN6" s="95">
        <v>35.0</v>
      </c>
      <c r="AO6" s="95">
        <v>36.0</v>
      </c>
      <c r="AP6" s="95">
        <v>37.0</v>
      </c>
      <c r="AQ6" s="95">
        <v>38.0</v>
      </c>
      <c r="AR6" s="95">
        <v>39.0</v>
      </c>
      <c r="AS6" s="95">
        <v>40.0</v>
      </c>
      <c r="AT6" s="95">
        <v>41.0</v>
      </c>
      <c r="AU6" s="95">
        <v>42.0</v>
      </c>
      <c r="AV6" s="95">
        <v>43.0</v>
      </c>
      <c r="AW6" s="95">
        <v>44.0</v>
      </c>
      <c r="AX6" s="95">
        <v>45.0</v>
      </c>
      <c r="AY6" s="95">
        <v>46.0</v>
      </c>
      <c r="AZ6" s="95">
        <v>47.0</v>
      </c>
      <c r="BA6" s="95">
        <v>48.0</v>
      </c>
      <c r="BB6" s="95">
        <v>49.0</v>
      </c>
      <c r="BC6" s="95">
        <v>50.0</v>
      </c>
    </row>
    <row r="7" ht="16.5" customHeight="1">
      <c r="A7" s="95">
        <v>5.0</v>
      </c>
      <c r="B7" s="95">
        <v>0.961</v>
      </c>
      <c r="D7" s="95" t="s">
        <v>76</v>
      </c>
      <c r="E7" s="95">
        <v>1.0</v>
      </c>
      <c r="F7" s="95">
        <v>0.992</v>
      </c>
      <c r="G7" s="95">
        <v>0.984</v>
      </c>
      <c r="H7" s="95">
        <v>0.976</v>
      </c>
      <c r="I7" s="95">
        <v>0.969</v>
      </c>
      <c r="J7" s="95">
        <v>0.961</v>
      </c>
      <c r="K7" s="95">
        <v>0.953</v>
      </c>
      <c r="L7" s="95">
        <v>0.945</v>
      </c>
      <c r="M7" s="95">
        <v>0.937</v>
      </c>
      <c r="N7" s="95">
        <v>0.929</v>
      </c>
      <c r="O7" s="95">
        <v>0.921</v>
      </c>
      <c r="P7" s="95">
        <v>0.913</v>
      </c>
      <c r="Q7" s="95">
        <v>0.905</v>
      </c>
      <c r="R7" s="95">
        <v>0.897</v>
      </c>
      <c r="S7" s="95">
        <v>0.889</v>
      </c>
      <c r="T7" s="95">
        <v>0.88</v>
      </c>
      <c r="U7" s="95">
        <v>0.872</v>
      </c>
      <c r="V7" s="95">
        <v>0.864</v>
      </c>
      <c r="W7" s="95">
        <v>0.856</v>
      </c>
      <c r="X7" s="95">
        <v>0.848</v>
      </c>
      <c r="Y7" s="95">
        <v>0.84</v>
      </c>
      <c r="Z7" s="95">
        <v>0.831</v>
      </c>
      <c r="AA7" s="95">
        <v>0.823</v>
      </c>
      <c r="AB7" s="95">
        <v>0.815</v>
      </c>
      <c r="AC7" s="95">
        <v>0.806</v>
      </c>
      <c r="AD7" s="95">
        <v>0.798</v>
      </c>
      <c r="AE7" s="95">
        <v>0.79</v>
      </c>
      <c r="AF7" s="95">
        <v>0.781</v>
      </c>
      <c r="AG7" s="95">
        <v>0.773</v>
      </c>
      <c r="AH7" s="95">
        <v>0.764</v>
      </c>
      <c r="AI7" s="95">
        <v>0.756</v>
      </c>
      <c r="AJ7" s="95">
        <v>0.747</v>
      </c>
      <c r="AK7" s="95">
        <v>0.739</v>
      </c>
      <c r="AL7" s="95">
        <v>0.73</v>
      </c>
      <c r="AM7" s="95">
        <v>0.721</v>
      </c>
      <c r="AN7" s="95">
        <v>0.713</v>
      </c>
      <c r="AO7" s="95">
        <v>0.704</v>
      </c>
      <c r="AP7" s="95">
        <v>0.695</v>
      </c>
      <c r="AQ7" s="95">
        <v>0.686</v>
      </c>
      <c r="AR7" s="95">
        <v>0.678</v>
      </c>
      <c r="AS7" s="95">
        <v>0.669</v>
      </c>
      <c r="AT7" s="95">
        <v>0.66</v>
      </c>
      <c r="AU7" s="95">
        <v>0.651</v>
      </c>
      <c r="AV7" s="95">
        <v>0.642</v>
      </c>
      <c r="AW7" s="95">
        <v>0.633</v>
      </c>
      <c r="AX7" s="95">
        <v>0.624</v>
      </c>
      <c r="AY7" s="95">
        <v>0.615</v>
      </c>
      <c r="AZ7" s="95">
        <v>0.606</v>
      </c>
      <c r="BA7" s="95">
        <v>0.597</v>
      </c>
      <c r="BB7" s="95">
        <v>0.587</v>
      </c>
      <c r="BC7" s="95">
        <v>0.578</v>
      </c>
    </row>
    <row r="8" ht="16.5" customHeight="1">
      <c r="A8" s="95">
        <v>6.0</v>
      </c>
      <c r="B8" s="95">
        <v>0.953</v>
      </c>
    </row>
    <row r="9" ht="16.5" customHeight="1">
      <c r="A9" s="95">
        <v>7.0</v>
      </c>
      <c r="B9" s="95">
        <v>0.945</v>
      </c>
    </row>
    <row r="10" ht="16.5" customHeight="1">
      <c r="A10" s="95">
        <v>8.0</v>
      </c>
      <c r="B10" s="95">
        <v>0.937</v>
      </c>
    </row>
    <row r="11" ht="16.5" customHeight="1">
      <c r="A11" s="95">
        <v>9.0</v>
      </c>
      <c r="B11" s="95">
        <v>0.929</v>
      </c>
    </row>
    <row r="12" ht="16.5" customHeight="1">
      <c r="A12" s="95">
        <v>10.0</v>
      </c>
      <c r="B12" s="95">
        <v>0.921</v>
      </c>
    </row>
    <row r="13" ht="16.5" customHeight="1">
      <c r="A13" s="95">
        <v>11.0</v>
      </c>
      <c r="B13" s="95">
        <v>0.913</v>
      </c>
    </row>
    <row r="14" ht="16.5" customHeight="1">
      <c r="A14" s="95">
        <v>12.0</v>
      </c>
      <c r="B14" s="95">
        <v>0.905</v>
      </c>
    </row>
    <row r="15" ht="16.5" customHeight="1">
      <c r="A15" s="95">
        <v>13.0</v>
      </c>
      <c r="B15" s="95">
        <v>0.897</v>
      </c>
    </row>
    <row r="16" ht="16.5" customHeight="1">
      <c r="A16" s="95">
        <v>14.0</v>
      </c>
      <c r="B16" s="95">
        <v>0.889</v>
      </c>
    </row>
    <row r="17" ht="16.5" customHeight="1">
      <c r="A17" s="95">
        <v>15.0</v>
      </c>
      <c r="B17" s="95">
        <v>0.88</v>
      </c>
    </row>
    <row r="18" ht="16.5" customHeight="1">
      <c r="A18" s="95">
        <v>16.0</v>
      </c>
      <c r="B18" s="95">
        <v>0.872</v>
      </c>
    </row>
    <row r="19" ht="16.5" customHeight="1">
      <c r="A19" s="95">
        <v>17.0</v>
      </c>
      <c r="B19" s="95">
        <v>0.864</v>
      </c>
    </row>
    <row r="20" ht="16.5" customHeight="1">
      <c r="A20" s="95">
        <v>18.0</v>
      </c>
      <c r="B20" s="95">
        <v>0.856</v>
      </c>
    </row>
    <row r="21" ht="16.5" customHeight="1">
      <c r="A21" s="95">
        <v>19.0</v>
      </c>
      <c r="B21" s="95">
        <v>0.848</v>
      </c>
    </row>
    <row r="22" ht="16.5" customHeight="1">
      <c r="A22" s="95">
        <v>20.0</v>
      </c>
      <c r="B22" s="95">
        <v>0.84</v>
      </c>
    </row>
    <row r="23" ht="16.5" customHeight="1">
      <c r="A23" s="95">
        <v>21.0</v>
      </c>
      <c r="B23" s="95">
        <v>0.831</v>
      </c>
    </row>
    <row r="24" ht="16.5" customHeight="1">
      <c r="A24" s="95">
        <v>22.0</v>
      </c>
      <c r="B24" s="95">
        <v>0.823</v>
      </c>
    </row>
    <row r="25" ht="16.5" customHeight="1">
      <c r="A25" s="95">
        <v>23.0</v>
      </c>
      <c r="B25" s="95">
        <v>0.815</v>
      </c>
    </row>
    <row r="26" ht="16.5" customHeight="1">
      <c r="A26" s="95">
        <v>24.0</v>
      </c>
      <c r="B26" s="95">
        <v>0.806</v>
      </c>
    </row>
    <row r="27" ht="16.5" customHeight="1">
      <c r="A27" s="95">
        <v>25.0</v>
      </c>
      <c r="B27" s="95">
        <v>0.798</v>
      </c>
    </row>
    <row r="28" ht="16.5" customHeight="1">
      <c r="A28" s="95">
        <v>26.0</v>
      </c>
      <c r="B28" s="95">
        <v>0.79</v>
      </c>
    </row>
    <row r="29" ht="16.5" customHeight="1">
      <c r="A29" s="95">
        <v>27.0</v>
      </c>
      <c r="B29" s="95">
        <v>0.781</v>
      </c>
    </row>
    <row r="30" ht="16.5" customHeight="1">
      <c r="A30" s="95">
        <v>28.0</v>
      </c>
      <c r="B30" s="95">
        <v>0.773</v>
      </c>
    </row>
    <row r="31" ht="16.5" customHeight="1">
      <c r="A31" s="95">
        <v>29.0</v>
      </c>
      <c r="B31" s="95">
        <v>0.764</v>
      </c>
    </row>
    <row r="32" ht="16.5" customHeight="1">
      <c r="A32" s="95">
        <v>30.0</v>
      </c>
      <c r="B32" s="95">
        <v>0.756</v>
      </c>
    </row>
    <row r="33" ht="16.5" customHeight="1">
      <c r="A33" s="95">
        <v>31.0</v>
      </c>
      <c r="B33" s="95">
        <v>0.747</v>
      </c>
    </row>
    <row r="34" ht="16.5" customHeight="1">
      <c r="A34" s="95">
        <v>32.0</v>
      </c>
      <c r="B34" s="95">
        <v>0.739</v>
      </c>
    </row>
    <row r="35" ht="16.5" customHeight="1">
      <c r="A35" s="95">
        <v>33.0</v>
      </c>
      <c r="B35" s="95">
        <v>0.73</v>
      </c>
    </row>
    <row r="36" ht="16.5" customHeight="1">
      <c r="A36" s="95">
        <v>34.0</v>
      </c>
      <c r="B36" s="95">
        <v>0.721</v>
      </c>
    </row>
    <row r="37" ht="16.5" customHeight="1">
      <c r="A37" s="95">
        <v>35.0</v>
      </c>
      <c r="B37" s="95">
        <v>0.713</v>
      </c>
    </row>
    <row r="38" ht="16.5" customHeight="1">
      <c r="A38" s="95">
        <v>36.0</v>
      </c>
      <c r="B38" s="95">
        <v>0.704</v>
      </c>
    </row>
    <row r="39" ht="16.5" customHeight="1">
      <c r="A39" s="95">
        <v>37.0</v>
      </c>
      <c r="B39" s="95">
        <v>0.695</v>
      </c>
    </row>
    <row r="40" ht="16.5" customHeight="1">
      <c r="A40" s="95">
        <v>38.0</v>
      </c>
      <c r="B40" s="95">
        <v>0.686</v>
      </c>
    </row>
    <row r="41" ht="16.5" customHeight="1">
      <c r="A41" s="95">
        <v>39.0</v>
      </c>
      <c r="B41" s="95">
        <v>0.678</v>
      </c>
    </row>
    <row r="42" ht="16.5" customHeight="1">
      <c r="A42" s="95">
        <v>40.0</v>
      </c>
      <c r="B42" s="95">
        <v>0.669</v>
      </c>
    </row>
    <row r="43" ht="16.5" customHeight="1">
      <c r="A43" s="95">
        <v>41.0</v>
      </c>
      <c r="B43" s="95">
        <v>0.66</v>
      </c>
    </row>
    <row r="44" ht="16.5" customHeight="1">
      <c r="A44" s="95">
        <v>42.0</v>
      </c>
      <c r="B44" s="95">
        <v>0.651</v>
      </c>
    </row>
    <row r="45" ht="16.5" customHeight="1">
      <c r="A45" s="95">
        <v>43.0</v>
      </c>
      <c r="B45" s="95">
        <v>0.642</v>
      </c>
    </row>
    <row r="46" ht="16.5" customHeight="1">
      <c r="A46" s="95">
        <v>44.0</v>
      </c>
      <c r="B46" s="95">
        <v>0.633</v>
      </c>
    </row>
    <row r="47" ht="16.5" customHeight="1">
      <c r="A47" s="95">
        <v>45.0</v>
      </c>
      <c r="B47" s="95">
        <v>0.624</v>
      </c>
    </row>
    <row r="48" ht="16.5" customHeight="1">
      <c r="A48" s="95">
        <v>46.0</v>
      </c>
      <c r="B48" s="95">
        <v>0.615</v>
      </c>
    </row>
    <row r="49" ht="16.5" customHeight="1">
      <c r="A49" s="95">
        <v>47.0</v>
      </c>
      <c r="B49" s="95">
        <v>0.606</v>
      </c>
    </row>
    <row r="50" ht="16.5" customHeight="1">
      <c r="A50" s="95">
        <v>48.0</v>
      </c>
      <c r="B50" s="95">
        <v>0.597</v>
      </c>
    </row>
    <row r="51" ht="16.5" customHeight="1">
      <c r="A51" s="95">
        <v>49.0</v>
      </c>
      <c r="B51" s="95">
        <v>0.587</v>
      </c>
    </row>
    <row r="52" ht="16.5" customHeight="1">
      <c r="A52" s="95">
        <v>50.0</v>
      </c>
      <c r="B52" s="95">
        <v>0.578</v>
      </c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13"/>
    <col customWidth="1" min="3" max="3" width="19.63"/>
    <col customWidth="1" min="4" max="7" width="11.13"/>
    <col customWidth="1" min="8" max="8" width="8.38"/>
    <col customWidth="1" min="9" max="9" width="8.75"/>
    <col customWidth="1" min="10" max="15" width="8.38"/>
    <col customWidth="1" min="16" max="26" width="10.63"/>
  </cols>
  <sheetData>
    <row r="1" ht="16.5" customHeight="1">
      <c r="A1" s="18" t="s">
        <v>21</v>
      </c>
      <c r="B1" s="19"/>
      <c r="C1" s="19" t="s">
        <v>22</v>
      </c>
      <c r="D1" s="19"/>
      <c r="E1" s="19"/>
      <c r="F1" s="19"/>
      <c r="G1" s="19"/>
      <c r="H1" s="19"/>
      <c r="I1" s="20" t="s">
        <v>23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6.5" customHeight="1">
      <c r="A2" s="22">
        <v>33806.0</v>
      </c>
      <c r="B2" s="23"/>
      <c r="C2" s="24" t="s">
        <v>81</v>
      </c>
      <c r="D2" s="23"/>
      <c r="E2" s="23"/>
      <c r="F2" s="23"/>
      <c r="G2" s="23"/>
      <c r="H2" s="23"/>
      <c r="I2" s="96" t="str">
        <f>"https://www.base-inies.fr/iniesV4/dist/consultation.html?id="&amp;A2</f>
        <v>https://www.base-inies.fr/iniesV4/dist/consultation.html?id=33806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6.5" customHeight="1">
      <c r="A3" s="26"/>
      <c r="B3" s="21"/>
      <c r="C3" s="27"/>
      <c r="D3" s="21"/>
      <c r="E3" s="21"/>
      <c r="F3" s="21"/>
      <c r="G3" s="21"/>
      <c r="H3" s="28"/>
      <c r="I3" s="29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6.25" customHeight="1">
      <c r="A4" s="30" t="s">
        <v>82</v>
      </c>
      <c r="B4" s="31" t="s">
        <v>26</v>
      </c>
      <c r="C4" s="32">
        <v>100.0</v>
      </c>
      <c r="D4" s="21" t="s">
        <v>27</v>
      </c>
      <c r="E4" s="21"/>
      <c r="F4" s="21"/>
      <c r="G4" s="21"/>
      <c r="H4" s="21"/>
      <c r="I4" s="29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6.5" customHeight="1">
      <c r="A5" s="26"/>
      <c r="B5" s="21"/>
      <c r="C5" s="21"/>
      <c r="D5" s="21"/>
      <c r="E5" s="21"/>
      <c r="F5" s="33"/>
      <c r="G5" s="1"/>
      <c r="H5" s="21"/>
      <c r="I5" s="29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39.75" customHeight="1">
      <c r="A6" s="97" t="s">
        <v>83</v>
      </c>
      <c r="B6" s="31"/>
      <c r="C6" s="32">
        <v>195.0</v>
      </c>
      <c r="D6" s="21" t="s">
        <v>84</v>
      </c>
      <c r="E6" s="21"/>
      <c r="F6" s="33"/>
      <c r="G6" s="1"/>
      <c r="H6" s="21"/>
      <c r="I6" s="29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6.5" customHeight="1">
      <c r="A7" s="26"/>
      <c r="B7" s="21"/>
      <c r="C7" s="21"/>
      <c r="D7" s="21"/>
      <c r="E7" s="21"/>
      <c r="F7" s="33"/>
      <c r="G7" s="1"/>
      <c r="H7" s="21"/>
      <c r="I7" s="29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43.5" customHeight="1">
      <c r="A8" s="30" t="s">
        <v>85</v>
      </c>
      <c r="B8" s="33"/>
      <c r="C8" s="34" t="s">
        <v>86</v>
      </c>
      <c r="D8" s="35"/>
      <c r="E8" s="35"/>
      <c r="F8" s="35"/>
      <c r="G8" s="36"/>
      <c r="H8" s="21"/>
      <c r="I8" s="21"/>
      <c r="J8" s="98"/>
      <c r="K8" s="98"/>
      <c r="L8" s="98"/>
      <c r="M8" s="98"/>
      <c r="N8" s="98"/>
      <c r="O8" s="99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4.0" customHeight="1">
      <c r="A9" s="26"/>
      <c r="B9" s="21"/>
      <c r="C9" s="38" t="s">
        <v>87</v>
      </c>
      <c r="D9" s="39" t="s">
        <v>88</v>
      </c>
      <c r="E9" s="39" t="s">
        <v>89</v>
      </c>
      <c r="F9" s="39" t="s">
        <v>90</v>
      </c>
      <c r="G9" s="39" t="s">
        <v>91</v>
      </c>
      <c r="H9" s="39" t="s">
        <v>92</v>
      </c>
      <c r="I9" s="39" t="s">
        <v>93</v>
      </c>
      <c r="J9" s="39" t="s">
        <v>94</v>
      </c>
      <c r="K9" s="39" t="s">
        <v>95</v>
      </c>
      <c r="L9" s="39" t="s">
        <v>96</v>
      </c>
      <c r="M9" s="39" t="s">
        <v>97</v>
      </c>
      <c r="N9" s="39" t="s">
        <v>98</v>
      </c>
      <c r="O9" s="40" t="s">
        <v>36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45.0" customHeight="1">
      <c r="A10" s="26"/>
      <c r="B10" s="42" t="s">
        <v>37</v>
      </c>
      <c r="C10" s="43" t="s">
        <v>99</v>
      </c>
      <c r="D10" s="44" t="s">
        <v>100</v>
      </c>
      <c r="E10" s="44" t="s">
        <v>40</v>
      </c>
      <c r="F10" s="44" t="s">
        <v>40</v>
      </c>
      <c r="G10" s="44" t="s">
        <v>40</v>
      </c>
      <c r="H10" s="44" t="s">
        <v>40</v>
      </c>
      <c r="I10" s="44" t="s">
        <v>40</v>
      </c>
      <c r="J10" s="44" t="s">
        <v>40</v>
      </c>
      <c r="K10" s="44" t="s">
        <v>40</v>
      </c>
      <c r="L10" s="44" t="s">
        <v>40</v>
      </c>
      <c r="M10" s="44" t="s">
        <v>101</v>
      </c>
      <c r="N10" s="44" t="s">
        <v>102</v>
      </c>
      <c r="O10" s="45" t="s">
        <v>103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6.5" customHeight="1">
      <c r="A11" s="26"/>
      <c r="B11" s="21"/>
      <c r="C11" s="47" t="s">
        <v>44</v>
      </c>
      <c r="D11" s="42"/>
      <c r="E11" s="42"/>
      <c r="F11" s="42"/>
      <c r="G11" s="21"/>
      <c r="H11" s="21"/>
      <c r="I11" s="21"/>
      <c r="J11" s="21"/>
      <c r="K11" s="21"/>
      <c r="L11" s="21"/>
      <c r="M11" s="21"/>
      <c r="N11" s="21"/>
      <c r="O11" s="2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26"/>
      <c r="B12" s="21"/>
      <c r="C12" s="21"/>
      <c r="D12" s="42"/>
      <c r="E12" s="42"/>
      <c r="F12" s="42"/>
      <c r="G12" s="21"/>
      <c r="H12" s="21"/>
      <c r="I12" s="21"/>
      <c r="J12" s="21"/>
      <c r="K12" s="21"/>
      <c r="L12" s="21"/>
      <c r="M12" s="21"/>
      <c r="N12" s="21"/>
      <c r="O12" s="2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26"/>
      <c r="B13" s="48" t="s">
        <v>45</v>
      </c>
      <c r="C13" s="49">
        <f t="shared" ref="C13:O13" si="1">SEARCH(".",C10)</f>
        <v>3</v>
      </c>
      <c r="D13" s="49">
        <f t="shared" si="1"/>
        <v>2</v>
      </c>
      <c r="E13" s="49">
        <f t="shared" si="1"/>
        <v>2</v>
      </c>
      <c r="F13" s="49">
        <f t="shared" si="1"/>
        <v>2</v>
      </c>
      <c r="G13" s="49">
        <f t="shared" si="1"/>
        <v>2</v>
      </c>
      <c r="H13" s="49">
        <f t="shared" si="1"/>
        <v>2</v>
      </c>
      <c r="I13" s="49">
        <f t="shared" si="1"/>
        <v>2</v>
      </c>
      <c r="J13" s="49">
        <f t="shared" si="1"/>
        <v>2</v>
      </c>
      <c r="K13" s="49">
        <f t="shared" si="1"/>
        <v>2</v>
      </c>
      <c r="L13" s="49">
        <f t="shared" si="1"/>
        <v>2</v>
      </c>
      <c r="M13" s="49">
        <f t="shared" si="1"/>
        <v>2</v>
      </c>
      <c r="N13" s="49">
        <f t="shared" si="1"/>
        <v>2</v>
      </c>
      <c r="O13" s="100">
        <f t="shared" si="1"/>
        <v>3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26"/>
      <c r="B14" s="48" t="s">
        <v>46</v>
      </c>
      <c r="C14" s="50" t="str">
        <f t="shared" ref="C14:O14" si="2">REPLACE(C10,C13,1,",")</f>
        <v>-6,04e+2</v>
      </c>
      <c r="D14" s="50" t="str">
        <f t="shared" si="2"/>
        <v>1,38e+1</v>
      </c>
      <c r="E14" s="50" t="str">
        <f t="shared" si="2"/>
        <v>0,00e+0</v>
      </c>
      <c r="F14" s="50" t="str">
        <f t="shared" si="2"/>
        <v>0,00e+0</v>
      </c>
      <c r="G14" s="50" t="str">
        <f t="shared" si="2"/>
        <v>0,00e+0</v>
      </c>
      <c r="H14" s="50" t="str">
        <f t="shared" si="2"/>
        <v>0,00e+0</v>
      </c>
      <c r="I14" s="50" t="str">
        <f t="shared" si="2"/>
        <v>0,00e+0</v>
      </c>
      <c r="J14" s="50" t="str">
        <f t="shared" si="2"/>
        <v>0,00e+0</v>
      </c>
      <c r="K14" s="50" t="str">
        <f t="shared" si="2"/>
        <v>0,00e+0</v>
      </c>
      <c r="L14" s="50" t="str">
        <f t="shared" si="2"/>
        <v>0,00e+0</v>
      </c>
      <c r="M14" s="50" t="str">
        <f t="shared" si="2"/>
        <v>7,58e+2</v>
      </c>
      <c r="N14" s="50" t="str">
        <f t="shared" si="2"/>
        <v>1,67e+2</v>
      </c>
      <c r="O14" s="101" t="str">
        <f t="shared" si="2"/>
        <v>-2,33e+2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26"/>
      <c r="B15" s="48" t="s">
        <v>47</v>
      </c>
      <c r="C15" s="51">
        <f t="shared" ref="C15:O15" si="3">VALUE(C14)</f>
        <v>-604</v>
      </c>
      <c r="D15" s="51">
        <f t="shared" si="3"/>
        <v>13.8</v>
      </c>
      <c r="E15" s="51">
        <f t="shared" si="3"/>
        <v>0</v>
      </c>
      <c r="F15" s="51">
        <f t="shared" si="3"/>
        <v>0</v>
      </c>
      <c r="G15" s="51">
        <f t="shared" si="3"/>
        <v>0</v>
      </c>
      <c r="H15" s="51">
        <f t="shared" si="3"/>
        <v>0</v>
      </c>
      <c r="I15" s="51">
        <f t="shared" si="3"/>
        <v>0</v>
      </c>
      <c r="J15" s="102">
        <f t="shared" si="3"/>
        <v>0</v>
      </c>
      <c r="K15" s="102">
        <f t="shared" si="3"/>
        <v>0</v>
      </c>
      <c r="L15" s="102">
        <f t="shared" si="3"/>
        <v>0</v>
      </c>
      <c r="M15" s="102">
        <f t="shared" si="3"/>
        <v>758</v>
      </c>
      <c r="N15" s="102">
        <f t="shared" si="3"/>
        <v>167</v>
      </c>
      <c r="O15" s="103">
        <f t="shared" si="3"/>
        <v>-233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26"/>
      <c r="B16" s="48"/>
      <c r="C16" s="51"/>
      <c r="D16" s="51"/>
      <c r="E16" s="51"/>
      <c r="F16" s="51"/>
      <c r="G16" s="51"/>
      <c r="H16" s="51"/>
      <c r="I16" s="29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3.25" customHeight="1">
      <c r="A17" s="26"/>
      <c r="B17" s="21"/>
      <c r="C17" s="52" t="s">
        <v>48</v>
      </c>
      <c r="D17" s="53" t="s">
        <v>49</v>
      </c>
      <c r="E17" s="53" t="s">
        <v>50</v>
      </c>
      <c r="F17" s="53" t="s">
        <v>51</v>
      </c>
      <c r="G17" s="53"/>
      <c r="H17" s="54" t="s">
        <v>52</v>
      </c>
      <c r="I17" s="29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39.0" customHeight="1">
      <c r="A18" s="26"/>
      <c r="B18" s="21"/>
      <c r="C18" s="52" t="s">
        <v>31</v>
      </c>
      <c r="D18" s="53" t="s">
        <v>32</v>
      </c>
      <c r="E18" s="53" t="s">
        <v>33</v>
      </c>
      <c r="F18" s="53" t="s">
        <v>34</v>
      </c>
      <c r="G18" s="53" t="s">
        <v>35</v>
      </c>
      <c r="H18" s="54" t="s">
        <v>36</v>
      </c>
      <c r="I18" s="29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6.5" customHeight="1">
      <c r="A19" s="26"/>
      <c r="B19" s="55" t="s">
        <v>104</v>
      </c>
      <c r="C19" s="56">
        <f t="shared" ref="C19:D19" si="4">ROUND(C15,$C$20)</f>
        <v>-604</v>
      </c>
      <c r="D19" s="57">
        <f t="shared" si="4"/>
        <v>13.8</v>
      </c>
      <c r="E19" s="57">
        <f t="shared" ref="E19:G19" si="5">ROUND(L15,$C$20)</f>
        <v>0</v>
      </c>
      <c r="F19" s="57">
        <f t="shared" si="5"/>
        <v>758</v>
      </c>
      <c r="G19" s="57">
        <f t="shared" si="5"/>
        <v>167</v>
      </c>
      <c r="H19" s="58">
        <f>IFERROR(ROUND(O15,$C$20),0)</f>
        <v>-233</v>
      </c>
      <c r="I19" s="59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6.5" customHeight="1">
      <c r="A20" s="26"/>
      <c r="B20" s="60" t="s">
        <v>54</v>
      </c>
      <c r="C20" s="61">
        <v>5.0</v>
      </c>
      <c r="D20" s="62"/>
      <c r="E20" s="62"/>
      <c r="F20" s="62"/>
      <c r="G20" s="62"/>
      <c r="H20" s="21"/>
      <c r="I20" s="29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9.0" customHeight="1">
      <c r="A21" s="26"/>
      <c r="B21" s="33"/>
      <c r="C21" s="11"/>
      <c r="D21" s="62"/>
      <c r="E21" s="62"/>
      <c r="F21" s="62"/>
      <c r="G21" s="62"/>
      <c r="H21" s="21"/>
      <c r="I21" s="29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6.5" customHeight="1">
      <c r="A22" s="26"/>
      <c r="B22" s="21"/>
      <c r="C22" s="63"/>
      <c r="D22" s="64" t="s">
        <v>55</v>
      </c>
      <c r="E22" s="65" t="s">
        <v>56</v>
      </c>
      <c r="F22" s="66" t="s">
        <v>57</v>
      </c>
      <c r="G22" s="67" t="s">
        <v>58</v>
      </c>
      <c r="H22" s="21"/>
      <c r="I22" s="29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6.5" customHeight="1">
      <c r="A23" s="26"/>
      <c r="B23" s="21"/>
      <c r="C23" s="68" t="s">
        <v>59</v>
      </c>
      <c r="D23" s="69">
        <f>C19+D19</f>
        <v>-590.2</v>
      </c>
      <c r="E23" s="70">
        <f>G23-F23-D23</f>
        <v>-0.8</v>
      </c>
      <c r="F23" s="71">
        <f>F19+H19/3</f>
        <v>680.3333333</v>
      </c>
      <c r="G23" s="72">
        <f>(50/(MIN(50,C4))*(G19+(H19/3)))</f>
        <v>89.33333333</v>
      </c>
      <c r="H23" s="21"/>
      <c r="I23" s="29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6.5" customHeight="1">
      <c r="A24" s="26"/>
      <c r="B24" s="21"/>
      <c r="C24" s="73" t="s">
        <v>60</v>
      </c>
      <c r="D24" s="69">
        <f>'Calcul +A2'!D11</f>
        <v>-590.2</v>
      </c>
      <c r="E24" s="70">
        <f>SUM('Calcul +A2'!E11:BA12)</f>
        <v>0</v>
      </c>
      <c r="F24" s="71">
        <f>SUM('Calcul +A2'!BB11:BB12)</f>
        <v>303.45</v>
      </c>
      <c r="G24" s="74">
        <f>'Calcul +A2'!B13</f>
        <v>-286.75</v>
      </c>
      <c r="H24" s="21"/>
      <c r="I24" s="29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6.5" customHeight="1">
      <c r="A25" s="75"/>
      <c r="B25" s="76"/>
      <c r="C25" s="76"/>
      <c r="D25" s="76"/>
      <c r="E25" s="76"/>
      <c r="F25" s="76"/>
      <c r="G25" s="76"/>
      <c r="H25" s="76"/>
      <c r="I25" s="77" t="str">
        <f>Infos!C4&amp;", "&amp;Infos!B9</f>
        <v>V2, par Guillaume Meunier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6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6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6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6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6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6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6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6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33.0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6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6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6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6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6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6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6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6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6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6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6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6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6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6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6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6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6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6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6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6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6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6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6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6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6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6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6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6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6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6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6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6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6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6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6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6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6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6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6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6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6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6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6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6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6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6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6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6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6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6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6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6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6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6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6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6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6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6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6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6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6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6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6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6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6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6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6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6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6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6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6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6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6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6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6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6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6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6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6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6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6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6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6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6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6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6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6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6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6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6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6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6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6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6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6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6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6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6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6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6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6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6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6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6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6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6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6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6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6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6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6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6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6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6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6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6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6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6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6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6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6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6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6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6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6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6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6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6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6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6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6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6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6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6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6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6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6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6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6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6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6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6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6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6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6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6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6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6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6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6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6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6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6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6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6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6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6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6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6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6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6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6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6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6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6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6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6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6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6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6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6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6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6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6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6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6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6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6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6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6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6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6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6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6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6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6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6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6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6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6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6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8:G8"/>
  </mergeCells>
  <printOptions horizontalCentered="1" vertic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FD0"/>
    <pageSetUpPr/>
  </sheetPr>
  <sheetViews>
    <sheetView workbookViewId="0"/>
  </sheetViews>
  <sheetFormatPr customHeight="1" defaultColWidth="12.63" defaultRowHeight="15.0" outlineLevelCol="1"/>
  <cols>
    <col customWidth="1" min="1" max="1" width="10.88"/>
    <col customWidth="1" min="2" max="2" width="36.38"/>
    <col customWidth="1" min="3" max="4" width="10.88"/>
    <col customWidth="1" min="5" max="5" width="7.25" outlineLevel="1"/>
    <col customWidth="1" min="6" max="6" width="7.75" outlineLevel="1"/>
    <col customWidth="1" min="7" max="10" width="9.13" outlineLevel="1"/>
    <col customWidth="1" min="11" max="11" width="27.75"/>
    <col customWidth="1" min="12" max="24" width="10.88"/>
    <col customWidth="1" min="25" max="26" width="10.63"/>
  </cols>
  <sheetData>
    <row r="1" ht="14.25" customHeight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4.25" customHeight="1">
      <c r="A2" s="28"/>
      <c r="B2" s="28"/>
      <c r="C2" s="104" t="str">
        <f t="shared" ref="C2:D2" si="1">W2</f>
        <v>Total cycle de vie</v>
      </c>
      <c r="D2" s="104" t="str">
        <f t="shared" si="1"/>
        <v>D-Bénéfices et charges au-delà des frontières du système</v>
      </c>
      <c r="E2" s="48" t="s">
        <v>47</v>
      </c>
      <c r="F2" s="48" t="s">
        <v>46</v>
      </c>
      <c r="G2" s="48" t="s">
        <v>45</v>
      </c>
      <c r="H2" s="48" t="s">
        <v>47</v>
      </c>
      <c r="I2" s="48" t="s">
        <v>46</v>
      </c>
      <c r="J2" s="48" t="s">
        <v>45</v>
      </c>
      <c r="K2" s="105" t="s">
        <v>105</v>
      </c>
      <c r="L2" s="106" t="s">
        <v>87</v>
      </c>
      <c r="M2" s="106" t="s">
        <v>88</v>
      </c>
      <c r="N2" s="106" t="s">
        <v>89</v>
      </c>
      <c r="O2" s="106" t="s">
        <v>90</v>
      </c>
      <c r="P2" s="106" t="s">
        <v>91</v>
      </c>
      <c r="Q2" s="106" t="s">
        <v>92</v>
      </c>
      <c r="R2" s="106" t="s">
        <v>93</v>
      </c>
      <c r="S2" s="106" t="s">
        <v>94</v>
      </c>
      <c r="T2" s="106" t="s">
        <v>95</v>
      </c>
      <c r="U2" s="106" t="s">
        <v>96</v>
      </c>
      <c r="V2" s="106" t="s">
        <v>97</v>
      </c>
      <c r="W2" s="106" t="s">
        <v>98</v>
      </c>
      <c r="X2" s="106" t="s">
        <v>36</v>
      </c>
      <c r="Y2" s="28"/>
      <c r="Z2" s="28"/>
    </row>
    <row r="3" ht="14.25" customHeight="1">
      <c r="A3" s="28"/>
      <c r="B3" s="107" t="str">
        <f t="shared" ref="B3:B6" si="2">K3</f>
        <v>Changement climatique - total (kg CO2 eq.)</v>
      </c>
      <c r="C3" s="108">
        <f t="shared" ref="C3:C6" si="3">E3</f>
        <v>167</v>
      </c>
      <c r="D3" s="108">
        <f t="shared" ref="D3:D6" si="4">H3</f>
        <v>-233</v>
      </c>
      <c r="E3" s="51">
        <f t="shared" ref="E3:E6" si="5">VALUE(F3)</f>
        <v>167</v>
      </c>
      <c r="F3" s="50" t="str">
        <f t="shared" ref="F3:F6" si="6">REPLACE(W3,G3,1,",")</f>
        <v>1,67e+2</v>
      </c>
      <c r="G3" s="49">
        <f t="shared" ref="G3:G6" si="7">SEARCH(".",W3)</f>
        <v>2</v>
      </c>
      <c r="H3" s="51">
        <f t="shared" ref="H3:H6" si="8">VALUE(I3)</f>
        <v>-233</v>
      </c>
      <c r="I3" s="50" t="str">
        <f t="shared" ref="I3:I6" si="9">REPLACE(X3,J3,1,",")</f>
        <v>-2,33e+2</v>
      </c>
      <c r="J3" s="49">
        <f t="shared" ref="J3:J6" si="10">SEARCH(".",X3)</f>
        <v>3</v>
      </c>
      <c r="K3" s="109" t="s">
        <v>106</v>
      </c>
      <c r="L3" s="109" t="s">
        <v>99</v>
      </c>
      <c r="M3" s="109" t="s">
        <v>100</v>
      </c>
      <c r="N3" s="109" t="s">
        <v>40</v>
      </c>
      <c r="O3" s="109" t="s">
        <v>40</v>
      </c>
      <c r="P3" s="109" t="s">
        <v>40</v>
      </c>
      <c r="Q3" s="109" t="s">
        <v>40</v>
      </c>
      <c r="R3" s="109" t="s">
        <v>40</v>
      </c>
      <c r="S3" s="109" t="s">
        <v>40</v>
      </c>
      <c r="T3" s="109" t="s">
        <v>40</v>
      </c>
      <c r="U3" s="109" t="s">
        <v>40</v>
      </c>
      <c r="V3" s="109" t="s">
        <v>101</v>
      </c>
      <c r="W3" s="109" t="s">
        <v>102</v>
      </c>
      <c r="X3" s="109" t="s">
        <v>103</v>
      </c>
      <c r="Y3" s="28"/>
      <c r="Z3" s="28"/>
    </row>
    <row r="4" ht="14.25" customHeight="1">
      <c r="A4" s="28"/>
      <c r="B4" s="110" t="str">
        <f t="shared" si="2"/>
        <v>Changement climatique - fossil (kg CO2 eq.)</v>
      </c>
      <c r="C4" s="111">
        <f t="shared" si="3"/>
        <v>150</v>
      </c>
      <c r="D4" s="111">
        <f t="shared" si="4"/>
        <v>-225</v>
      </c>
      <c r="E4" s="51">
        <f t="shared" si="5"/>
        <v>150</v>
      </c>
      <c r="F4" s="50" t="str">
        <f t="shared" si="6"/>
        <v>1,50e+2</v>
      </c>
      <c r="G4" s="49">
        <f t="shared" si="7"/>
        <v>2</v>
      </c>
      <c r="H4" s="51">
        <f t="shared" si="8"/>
        <v>-225</v>
      </c>
      <c r="I4" s="50" t="str">
        <f t="shared" si="9"/>
        <v>-2,25e+2</v>
      </c>
      <c r="J4" s="49">
        <f t="shared" si="10"/>
        <v>3</v>
      </c>
      <c r="K4" s="109" t="s">
        <v>107</v>
      </c>
      <c r="L4" s="109" t="s">
        <v>108</v>
      </c>
      <c r="M4" s="109" t="s">
        <v>109</v>
      </c>
      <c r="N4" s="109" t="s">
        <v>40</v>
      </c>
      <c r="O4" s="109" t="s">
        <v>40</v>
      </c>
      <c r="P4" s="109" t="s">
        <v>40</v>
      </c>
      <c r="Q4" s="109" t="s">
        <v>40</v>
      </c>
      <c r="R4" s="109" t="s">
        <v>40</v>
      </c>
      <c r="S4" s="109" t="s">
        <v>40</v>
      </c>
      <c r="T4" s="109" t="s">
        <v>40</v>
      </c>
      <c r="U4" s="109" t="s">
        <v>40</v>
      </c>
      <c r="V4" s="109" t="s">
        <v>41</v>
      </c>
      <c r="W4" s="109" t="s">
        <v>110</v>
      </c>
      <c r="X4" s="109" t="s">
        <v>111</v>
      </c>
      <c r="Y4" s="28"/>
      <c r="Z4" s="28"/>
    </row>
    <row r="5" ht="14.25" customHeight="1">
      <c r="A5" s="28"/>
      <c r="B5" s="112" t="str">
        <f t="shared" si="2"/>
        <v>Changement climatique - biogénique (kg CO2 eq.)</v>
      </c>
      <c r="C5" s="113">
        <f t="shared" si="3"/>
        <v>16.7</v>
      </c>
      <c r="D5" s="113">
        <f t="shared" si="4"/>
        <v>-8.35</v>
      </c>
      <c r="E5" s="51">
        <f t="shared" si="5"/>
        <v>16.7</v>
      </c>
      <c r="F5" s="50" t="str">
        <f t="shared" si="6"/>
        <v>1,67e+1</v>
      </c>
      <c r="G5" s="49">
        <f t="shared" si="7"/>
        <v>2</v>
      </c>
      <c r="H5" s="51">
        <f t="shared" si="8"/>
        <v>-8.35</v>
      </c>
      <c r="I5" s="50" t="str">
        <f t="shared" si="9"/>
        <v>-8,35e+0</v>
      </c>
      <c r="J5" s="49">
        <f t="shared" si="10"/>
        <v>3</v>
      </c>
      <c r="K5" s="109" t="s">
        <v>112</v>
      </c>
      <c r="L5" s="109" t="s">
        <v>113</v>
      </c>
      <c r="M5" s="109" t="s">
        <v>114</v>
      </c>
      <c r="N5" s="109" t="s">
        <v>40</v>
      </c>
      <c r="O5" s="109" t="s">
        <v>40</v>
      </c>
      <c r="P5" s="109" t="s">
        <v>40</v>
      </c>
      <c r="Q5" s="109" t="s">
        <v>40</v>
      </c>
      <c r="R5" s="109" t="s">
        <v>40</v>
      </c>
      <c r="S5" s="109" t="s">
        <v>40</v>
      </c>
      <c r="T5" s="109" t="s">
        <v>40</v>
      </c>
      <c r="U5" s="109" t="s">
        <v>40</v>
      </c>
      <c r="V5" s="109" t="s">
        <v>115</v>
      </c>
      <c r="W5" s="109" t="s">
        <v>116</v>
      </c>
      <c r="X5" s="109" t="s">
        <v>117</v>
      </c>
      <c r="Y5" s="28"/>
      <c r="Z5" s="28"/>
    </row>
    <row r="6" ht="14.25" customHeight="1">
      <c r="A6" s="28"/>
      <c r="B6" s="114" t="str">
        <f t="shared" si="2"/>
        <v>Changement climatique - occupation des sols et transformation de l'occupation des sols (kg CO2 eq.)</v>
      </c>
      <c r="C6" s="115">
        <f t="shared" si="3"/>
        <v>0.108</v>
      </c>
      <c r="D6" s="115">
        <f t="shared" si="4"/>
        <v>-0.0601</v>
      </c>
      <c r="E6" s="51">
        <f t="shared" si="5"/>
        <v>0.108</v>
      </c>
      <c r="F6" s="50" t="str">
        <f t="shared" si="6"/>
        <v>1,08e-1</v>
      </c>
      <c r="G6" s="49">
        <f t="shared" si="7"/>
        <v>2</v>
      </c>
      <c r="H6" s="51">
        <f t="shared" si="8"/>
        <v>-0.0601</v>
      </c>
      <c r="I6" s="50" t="str">
        <f t="shared" si="9"/>
        <v>-6,01e-2</v>
      </c>
      <c r="J6" s="49">
        <f t="shared" si="10"/>
        <v>3</v>
      </c>
      <c r="K6" s="109" t="s">
        <v>118</v>
      </c>
      <c r="L6" s="109" t="s">
        <v>119</v>
      </c>
      <c r="M6" s="109" t="s">
        <v>120</v>
      </c>
      <c r="N6" s="109" t="s">
        <v>40</v>
      </c>
      <c r="O6" s="109" t="s">
        <v>40</v>
      </c>
      <c r="P6" s="109" t="s">
        <v>40</v>
      </c>
      <c r="Q6" s="109" t="s">
        <v>40</v>
      </c>
      <c r="R6" s="109" t="s">
        <v>40</v>
      </c>
      <c r="S6" s="109" t="s">
        <v>40</v>
      </c>
      <c r="T6" s="109" t="s">
        <v>40</v>
      </c>
      <c r="U6" s="109" t="s">
        <v>40</v>
      </c>
      <c r="V6" s="109" t="s">
        <v>121</v>
      </c>
      <c r="W6" s="109" t="s">
        <v>122</v>
      </c>
      <c r="X6" s="109" t="s">
        <v>123</v>
      </c>
      <c r="Y6" s="28"/>
      <c r="Z6" s="28"/>
    </row>
    <row r="7" ht="14.2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48" t="s">
        <v>45</v>
      </c>
      <c r="L7" s="49">
        <f t="shared" ref="L7:X7" si="11">SEARCH(".",L3)</f>
        <v>3</v>
      </c>
      <c r="M7" s="49">
        <f t="shared" si="11"/>
        <v>2</v>
      </c>
      <c r="N7" s="49">
        <f t="shared" si="11"/>
        <v>2</v>
      </c>
      <c r="O7" s="49">
        <f t="shared" si="11"/>
        <v>2</v>
      </c>
      <c r="P7" s="49">
        <f t="shared" si="11"/>
        <v>2</v>
      </c>
      <c r="Q7" s="49">
        <f t="shared" si="11"/>
        <v>2</v>
      </c>
      <c r="R7" s="49">
        <f t="shared" si="11"/>
        <v>2</v>
      </c>
      <c r="S7" s="49">
        <f t="shared" si="11"/>
        <v>2</v>
      </c>
      <c r="T7" s="49">
        <f t="shared" si="11"/>
        <v>2</v>
      </c>
      <c r="U7" s="49">
        <f t="shared" si="11"/>
        <v>2</v>
      </c>
      <c r="V7" s="49">
        <f t="shared" si="11"/>
        <v>2</v>
      </c>
      <c r="W7" s="49">
        <f t="shared" si="11"/>
        <v>2</v>
      </c>
      <c r="X7" s="49">
        <f t="shared" si="11"/>
        <v>3</v>
      </c>
      <c r="Y7" s="28"/>
      <c r="Z7" s="28"/>
    </row>
    <row r="8" ht="14.2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48" t="s">
        <v>45</v>
      </c>
      <c r="L8" s="49">
        <f t="shared" ref="L8:X8" si="12">SEARCH(".",L4)</f>
        <v>2</v>
      </c>
      <c r="M8" s="49">
        <f t="shared" si="12"/>
        <v>2</v>
      </c>
      <c r="N8" s="49">
        <f t="shared" si="12"/>
        <v>2</v>
      </c>
      <c r="O8" s="49">
        <f t="shared" si="12"/>
        <v>2</v>
      </c>
      <c r="P8" s="49">
        <f t="shared" si="12"/>
        <v>2</v>
      </c>
      <c r="Q8" s="49">
        <f t="shared" si="12"/>
        <v>2</v>
      </c>
      <c r="R8" s="49">
        <f t="shared" si="12"/>
        <v>2</v>
      </c>
      <c r="S8" s="49">
        <f t="shared" si="12"/>
        <v>2</v>
      </c>
      <c r="T8" s="49">
        <f t="shared" si="12"/>
        <v>2</v>
      </c>
      <c r="U8" s="49">
        <f t="shared" si="12"/>
        <v>2</v>
      </c>
      <c r="V8" s="49">
        <f t="shared" si="12"/>
        <v>2</v>
      </c>
      <c r="W8" s="49">
        <f t="shared" si="12"/>
        <v>2</v>
      </c>
      <c r="X8" s="49">
        <f t="shared" si="12"/>
        <v>3</v>
      </c>
      <c r="Y8" s="28"/>
      <c r="Z8" s="28"/>
    </row>
    <row r="9" ht="14.2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48" t="s">
        <v>45</v>
      </c>
      <c r="L9" s="49">
        <f t="shared" ref="L9:X9" si="13">SEARCH(".",L5)</f>
        <v>3</v>
      </c>
      <c r="M9" s="49">
        <f t="shared" si="13"/>
        <v>2</v>
      </c>
      <c r="N9" s="49">
        <f t="shared" si="13"/>
        <v>2</v>
      </c>
      <c r="O9" s="49">
        <f t="shared" si="13"/>
        <v>2</v>
      </c>
      <c r="P9" s="49">
        <f t="shared" si="13"/>
        <v>2</v>
      </c>
      <c r="Q9" s="49">
        <f t="shared" si="13"/>
        <v>2</v>
      </c>
      <c r="R9" s="49">
        <f t="shared" si="13"/>
        <v>2</v>
      </c>
      <c r="S9" s="49">
        <f t="shared" si="13"/>
        <v>2</v>
      </c>
      <c r="T9" s="49">
        <f t="shared" si="13"/>
        <v>2</v>
      </c>
      <c r="U9" s="49">
        <f t="shared" si="13"/>
        <v>2</v>
      </c>
      <c r="V9" s="49">
        <f t="shared" si="13"/>
        <v>2</v>
      </c>
      <c r="W9" s="49">
        <f t="shared" si="13"/>
        <v>2</v>
      </c>
      <c r="X9" s="49">
        <f t="shared" si="13"/>
        <v>3</v>
      </c>
      <c r="Y9" s="28"/>
      <c r="Z9" s="28"/>
    </row>
    <row r="10" ht="14.2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48" t="s">
        <v>45</v>
      </c>
      <c r="L10" s="49">
        <f t="shared" ref="L10:X10" si="14">SEARCH(".",L6)</f>
        <v>2</v>
      </c>
      <c r="M10" s="49">
        <f t="shared" si="14"/>
        <v>2</v>
      </c>
      <c r="N10" s="49">
        <f t="shared" si="14"/>
        <v>2</v>
      </c>
      <c r="O10" s="49">
        <f t="shared" si="14"/>
        <v>2</v>
      </c>
      <c r="P10" s="49">
        <f t="shared" si="14"/>
        <v>2</v>
      </c>
      <c r="Q10" s="49">
        <f t="shared" si="14"/>
        <v>2</v>
      </c>
      <c r="R10" s="49">
        <f t="shared" si="14"/>
        <v>2</v>
      </c>
      <c r="S10" s="49">
        <f t="shared" si="14"/>
        <v>2</v>
      </c>
      <c r="T10" s="49">
        <f t="shared" si="14"/>
        <v>2</v>
      </c>
      <c r="U10" s="49">
        <f t="shared" si="14"/>
        <v>2</v>
      </c>
      <c r="V10" s="49">
        <f t="shared" si="14"/>
        <v>2</v>
      </c>
      <c r="W10" s="49">
        <f t="shared" si="14"/>
        <v>2</v>
      </c>
      <c r="X10" s="49">
        <f t="shared" si="14"/>
        <v>3</v>
      </c>
      <c r="Y10" s="28"/>
      <c r="Z10" s="28"/>
    </row>
    <row r="11" ht="14.2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48" t="s">
        <v>46</v>
      </c>
      <c r="L11" s="50" t="str">
        <f t="shared" ref="L11:X11" si="15">REPLACE(L3,L7,1,",")</f>
        <v>-6,04e+2</v>
      </c>
      <c r="M11" s="50" t="str">
        <f t="shared" si="15"/>
        <v>1,38e+1</v>
      </c>
      <c r="N11" s="50" t="str">
        <f t="shared" si="15"/>
        <v>0,00e+0</v>
      </c>
      <c r="O11" s="50" t="str">
        <f t="shared" si="15"/>
        <v>0,00e+0</v>
      </c>
      <c r="P11" s="50" t="str">
        <f t="shared" si="15"/>
        <v>0,00e+0</v>
      </c>
      <c r="Q11" s="50" t="str">
        <f t="shared" si="15"/>
        <v>0,00e+0</v>
      </c>
      <c r="R11" s="50" t="str">
        <f t="shared" si="15"/>
        <v>0,00e+0</v>
      </c>
      <c r="S11" s="50" t="str">
        <f t="shared" si="15"/>
        <v>0,00e+0</v>
      </c>
      <c r="T11" s="50" t="str">
        <f t="shared" si="15"/>
        <v>0,00e+0</v>
      </c>
      <c r="U11" s="50" t="str">
        <f t="shared" si="15"/>
        <v>0,00e+0</v>
      </c>
      <c r="V11" s="50" t="str">
        <f t="shared" si="15"/>
        <v>7,58e+2</v>
      </c>
      <c r="W11" s="50" t="str">
        <f t="shared" si="15"/>
        <v>1,67e+2</v>
      </c>
      <c r="X11" s="50" t="str">
        <f t="shared" si="15"/>
        <v>-2,33e+2</v>
      </c>
      <c r="Y11" s="28"/>
      <c r="Z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48" t="s">
        <v>46</v>
      </c>
      <c r="L12" s="50" t="str">
        <f t="shared" ref="L12:X12" si="16">REPLACE(L4,L8,1,",")</f>
        <v>1,03e+2</v>
      </c>
      <c r="M12" s="50" t="str">
        <f t="shared" si="16"/>
        <v>1,35e+1</v>
      </c>
      <c r="N12" s="50" t="str">
        <f t="shared" si="16"/>
        <v>0,00e+0</v>
      </c>
      <c r="O12" s="50" t="str">
        <f t="shared" si="16"/>
        <v>0,00e+0</v>
      </c>
      <c r="P12" s="50" t="str">
        <f t="shared" si="16"/>
        <v>0,00e+0</v>
      </c>
      <c r="Q12" s="50" t="str">
        <f t="shared" si="16"/>
        <v>0,00e+0</v>
      </c>
      <c r="R12" s="50" t="str">
        <f t="shared" si="16"/>
        <v>0,00e+0</v>
      </c>
      <c r="S12" s="50" t="str">
        <f t="shared" si="16"/>
        <v>0,00e+0</v>
      </c>
      <c r="T12" s="50" t="str">
        <f t="shared" si="16"/>
        <v>0,00e+0</v>
      </c>
      <c r="U12" s="50" t="str">
        <f t="shared" si="16"/>
        <v>0,00e+0</v>
      </c>
      <c r="V12" s="50" t="str">
        <f t="shared" si="16"/>
        <v>3,33e+1</v>
      </c>
      <c r="W12" s="50" t="str">
        <f t="shared" si="16"/>
        <v>1,50e+2</v>
      </c>
      <c r="X12" s="50" t="str">
        <f t="shared" si="16"/>
        <v>-2,25e+2</v>
      </c>
      <c r="Y12" s="28"/>
      <c r="Z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48" t="s">
        <v>46</v>
      </c>
      <c r="L13" s="50" t="str">
        <f t="shared" ref="L13:X13" si="17">REPLACE(L5,L9,1,",")</f>
        <v>-7,08e+2</v>
      </c>
      <c r="M13" s="50" t="str">
        <f t="shared" si="17"/>
        <v>3,06e-1</v>
      </c>
      <c r="N13" s="50" t="str">
        <f t="shared" si="17"/>
        <v>0,00e+0</v>
      </c>
      <c r="O13" s="50" t="str">
        <f t="shared" si="17"/>
        <v>0,00e+0</v>
      </c>
      <c r="P13" s="50" t="str">
        <f t="shared" si="17"/>
        <v>0,00e+0</v>
      </c>
      <c r="Q13" s="50" t="str">
        <f t="shared" si="17"/>
        <v>0,00e+0</v>
      </c>
      <c r="R13" s="50" t="str">
        <f t="shared" si="17"/>
        <v>0,00e+0</v>
      </c>
      <c r="S13" s="50" t="str">
        <f t="shared" si="17"/>
        <v>0,00e+0</v>
      </c>
      <c r="T13" s="50" t="str">
        <f t="shared" si="17"/>
        <v>0,00e+0</v>
      </c>
      <c r="U13" s="50" t="str">
        <f t="shared" si="17"/>
        <v>0,00e+0</v>
      </c>
      <c r="V13" s="50" t="str">
        <f t="shared" si="17"/>
        <v>7,24e+2</v>
      </c>
      <c r="W13" s="50" t="str">
        <f t="shared" si="17"/>
        <v>1,67e+1</v>
      </c>
      <c r="X13" s="50" t="str">
        <f t="shared" si="17"/>
        <v>-8,35e+0</v>
      </c>
      <c r="Y13" s="28"/>
      <c r="Z13" s="28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48" t="s">
        <v>46</v>
      </c>
      <c r="L14" s="50" t="str">
        <f t="shared" ref="L14:X14" si="18">REPLACE(L6,L10,1,",")</f>
        <v>1,03e-1</v>
      </c>
      <c r="M14" s="50" t="str">
        <f t="shared" si="18"/>
        <v>4,60e-4</v>
      </c>
      <c r="N14" s="50" t="str">
        <f t="shared" si="18"/>
        <v>0,00e+0</v>
      </c>
      <c r="O14" s="50" t="str">
        <f t="shared" si="18"/>
        <v>0,00e+0</v>
      </c>
      <c r="P14" s="50" t="str">
        <f t="shared" si="18"/>
        <v>0,00e+0</v>
      </c>
      <c r="Q14" s="50" t="str">
        <f t="shared" si="18"/>
        <v>0,00e+0</v>
      </c>
      <c r="R14" s="50" t="str">
        <f t="shared" si="18"/>
        <v>0,00e+0</v>
      </c>
      <c r="S14" s="50" t="str">
        <f t="shared" si="18"/>
        <v>0,00e+0</v>
      </c>
      <c r="T14" s="50" t="str">
        <f t="shared" si="18"/>
        <v>0,00e+0</v>
      </c>
      <c r="U14" s="50" t="str">
        <f t="shared" si="18"/>
        <v>0,00e+0</v>
      </c>
      <c r="V14" s="50" t="str">
        <f t="shared" si="18"/>
        <v>4,38e-3</v>
      </c>
      <c r="W14" s="50" t="str">
        <f t="shared" si="18"/>
        <v>1,08e-1</v>
      </c>
      <c r="X14" s="50" t="str">
        <f t="shared" si="18"/>
        <v>-6,01e-2</v>
      </c>
      <c r="Y14" s="28"/>
      <c r="Z14" s="28"/>
    </row>
    <row r="15" ht="14.2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48" t="s">
        <v>47</v>
      </c>
      <c r="L15" s="51">
        <f t="shared" ref="L15:X15" si="19">VALUE(L11)</f>
        <v>-604</v>
      </c>
      <c r="M15" s="51">
        <f t="shared" si="19"/>
        <v>13.8</v>
      </c>
      <c r="N15" s="51">
        <f t="shared" si="19"/>
        <v>0</v>
      </c>
      <c r="O15" s="51">
        <f t="shared" si="19"/>
        <v>0</v>
      </c>
      <c r="P15" s="51">
        <f t="shared" si="19"/>
        <v>0</v>
      </c>
      <c r="Q15" s="51">
        <f t="shared" si="19"/>
        <v>0</v>
      </c>
      <c r="R15" s="51">
        <f t="shared" si="19"/>
        <v>0</v>
      </c>
      <c r="S15" s="51">
        <f t="shared" si="19"/>
        <v>0</v>
      </c>
      <c r="T15" s="51">
        <f t="shared" si="19"/>
        <v>0</v>
      </c>
      <c r="U15" s="51">
        <f t="shared" si="19"/>
        <v>0</v>
      </c>
      <c r="V15" s="51">
        <f t="shared" si="19"/>
        <v>758</v>
      </c>
      <c r="W15" s="51">
        <f t="shared" si="19"/>
        <v>167</v>
      </c>
      <c r="X15" s="51">
        <f t="shared" si="19"/>
        <v>-233</v>
      </c>
      <c r="Y15" s="28"/>
      <c r="Z15" s="28"/>
    </row>
    <row r="16" ht="14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48" t="s">
        <v>47</v>
      </c>
      <c r="L16" s="51">
        <f t="shared" ref="L16:X16" si="20">VALUE(L12)</f>
        <v>103</v>
      </c>
      <c r="M16" s="51">
        <f t="shared" si="20"/>
        <v>13.5</v>
      </c>
      <c r="N16" s="51">
        <f t="shared" si="20"/>
        <v>0</v>
      </c>
      <c r="O16" s="51">
        <f t="shared" si="20"/>
        <v>0</v>
      </c>
      <c r="P16" s="51">
        <f t="shared" si="20"/>
        <v>0</v>
      </c>
      <c r="Q16" s="51">
        <f t="shared" si="20"/>
        <v>0</v>
      </c>
      <c r="R16" s="51">
        <f t="shared" si="20"/>
        <v>0</v>
      </c>
      <c r="S16" s="51">
        <f t="shared" si="20"/>
        <v>0</v>
      </c>
      <c r="T16" s="51">
        <f t="shared" si="20"/>
        <v>0</v>
      </c>
      <c r="U16" s="51">
        <f t="shared" si="20"/>
        <v>0</v>
      </c>
      <c r="V16" s="51">
        <f t="shared" si="20"/>
        <v>33.3</v>
      </c>
      <c r="W16" s="51">
        <f t="shared" si="20"/>
        <v>150</v>
      </c>
      <c r="X16" s="51">
        <f t="shared" si="20"/>
        <v>-225</v>
      </c>
      <c r="Y16" s="28"/>
      <c r="Z16" s="28"/>
    </row>
    <row r="17" ht="14.2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48" t="s">
        <v>47</v>
      </c>
      <c r="L17" s="51">
        <f t="shared" ref="L17:X17" si="21">VALUE(L13)</f>
        <v>-708</v>
      </c>
      <c r="M17" s="51">
        <f t="shared" si="21"/>
        <v>0.306</v>
      </c>
      <c r="N17" s="51">
        <f t="shared" si="21"/>
        <v>0</v>
      </c>
      <c r="O17" s="51">
        <f t="shared" si="21"/>
        <v>0</v>
      </c>
      <c r="P17" s="51">
        <f t="shared" si="21"/>
        <v>0</v>
      </c>
      <c r="Q17" s="51">
        <f t="shared" si="21"/>
        <v>0</v>
      </c>
      <c r="R17" s="51">
        <f t="shared" si="21"/>
        <v>0</v>
      </c>
      <c r="S17" s="51">
        <f t="shared" si="21"/>
        <v>0</v>
      </c>
      <c r="T17" s="51">
        <f t="shared" si="21"/>
        <v>0</v>
      </c>
      <c r="U17" s="51">
        <f t="shared" si="21"/>
        <v>0</v>
      </c>
      <c r="V17" s="51">
        <f t="shared" si="21"/>
        <v>724</v>
      </c>
      <c r="W17" s="51">
        <f t="shared" si="21"/>
        <v>16.7</v>
      </c>
      <c r="X17" s="51">
        <f t="shared" si="21"/>
        <v>-8.35</v>
      </c>
      <c r="Y17" s="28"/>
      <c r="Z17" s="28"/>
    </row>
    <row r="18" ht="14.2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48" t="s">
        <v>47</v>
      </c>
      <c r="L18" s="51">
        <f t="shared" ref="L18:X18" si="22">VALUE(L14)</f>
        <v>0.103</v>
      </c>
      <c r="M18" s="51">
        <f t="shared" si="22"/>
        <v>0.00046</v>
      </c>
      <c r="N18" s="51">
        <f t="shared" si="22"/>
        <v>0</v>
      </c>
      <c r="O18" s="51">
        <f t="shared" si="22"/>
        <v>0</v>
      </c>
      <c r="P18" s="51">
        <f t="shared" si="22"/>
        <v>0</v>
      </c>
      <c r="Q18" s="51">
        <f t="shared" si="22"/>
        <v>0</v>
      </c>
      <c r="R18" s="51">
        <f t="shared" si="22"/>
        <v>0</v>
      </c>
      <c r="S18" s="51">
        <f t="shared" si="22"/>
        <v>0</v>
      </c>
      <c r="T18" s="51">
        <f t="shared" si="22"/>
        <v>0</v>
      </c>
      <c r="U18" s="51">
        <f t="shared" si="22"/>
        <v>0</v>
      </c>
      <c r="V18" s="51">
        <f t="shared" si="22"/>
        <v>0.00438</v>
      </c>
      <c r="W18" s="51">
        <f t="shared" si="22"/>
        <v>0.108</v>
      </c>
      <c r="X18" s="51">
        <f t="shared" si="22"/>
        <v>-0.0601</v>
      </c>
      <c r="Y18" s="28"/>
      <c r="Z18" s="28"/>
    </row>
    <row r="19" ht="14.2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4.2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4.2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4.2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 t="s">
        <v>124</v>
      </c>
      <c r="M23" s="28" t="s">
        <v>125</v>
      </c>
      <c r="N23" s="28" t="s">
        <v>126</v>
      </c>
      <c r="O23" s="28" t="s">
        <v>127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>
        <v>0.0</v>
      </c>
      <c r="L24" s="28">
        <v>0.0</v>
      </c>
      <c r="M24" s="28">
        <v>0.0</v>
      </c>
      <c r="N24" s="28">
        <v>0.0</v>
      </c>
      <c r="O24" s="28">
        <v>0.0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>
        <v>1.0</v>
      </c>
      <c r="L25" s="28">
        <f>L15+M15</f>
        <v>-590.2</v>
      </c>
      <c r="M25" s="28">
        <f>L16+M16</f>
        <v>116.5</v>
      </c>
      <c r="N25" s="28">
        <f>L17+M17</f>
        <v>-707.694</v>
      </c>
      <c r="O25" s="28">
        <f>L18+M18</f>
        <v>0.10346</v>
      </c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4.2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>
        <v>49.0</v>
      </c>
      <c r="L26" s="28">
        <f t="shared" ref="L26:O26" si="23">L25</f>
        <v>-590.2</v>
      </c>
      <c r="M26" s="28">
        <f t="shared" si="23"/>
        <v>116.5</v>
      </c>
      <c r="N26" s="28">
        <f t="shared" si="23"/>
        <v>-707.694</v>
      </c>
      <c r="O26" s="28">
        <f t="shared" si="23"/>
        <v>0.10346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4.2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>
        <v>50.0</v>
      </c>
      <c r="L27" s="28">
        <f>V15+L26</f>
        <v>167.8</v>
      </c>
      <c r="M27" s="28">
        <f>V16+M26</f>
        <v>149.8</v>
      </c>
      <c r="N27" s="28">
        <f>V17+N26</f>
        <v>16.306</v>
      </c>
      <c r="O27" s="28">
        <f>V18+O26</f>
        <v>0.10784</v>
      </c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D2D2"/>
    <pageSetUpPr/>
  </sheetPr>
  <sheetViews>
    <sheetView workbookViewId="0"/>
  </sheetViews>
  <sheetFormatPr customHeight="1" defaultColWidth="12.63" defaultRowHeight="15.0"/>
  <cols>
    <col customWidth="1" min="1" max="2" width="11.25"/>
    <col customWidth="1" min="3" max="3" width="14.38"/>
    <col customWidth="1" min="4" max="4" width="7.25"/>
    <col customWidth="1" min="5" max="54" width="5.25"/>
    <col customWidth="1" min="55" max="56" width="11.25"/>
  </cols>
  <sheetData>
    <row r="1" ht="16.5" customHeight="1">
      <c r="A1" s="78"/>
      <c r="B1" s="78"/>
      <c r="C1" s="79" t="s">
        <v>61</v>
      </c>
      <c r="D1" s="80">
        <f>QUOTIENT('Calcul +A2'!J1,M1)</f>
        <v>0</v>
      </c>
      <c r="E1" s="78"/>
      <c r="F1" s="79" t="s">
        <v>62</v>
      </c>
      <c r="G1" s="80">
        <f>('Calcul +A2'!J1/M1)-'Calcul +A2'!D1</f>
        <v>0.5</v>
      </c>
      <c r="H1" s="78"/>
      <c r="I1" s="79" t="s">
        <v>63</v>
      </c>
      <c r="J1" s="81">
        <v>50.0</v>
      </c>
      <c r="K1" s="82" t="s">
        <v>27</v>
      </c>
      <c r="L1" s="79" t="s">
        <v>64</v>
      </c>
      <c r="M1" s="81">
        <f>'Interface +A2'!C4</f>
        <v>100</v>
      </c>
      <c r="N1" s="82" t="s">
        <v>27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</row>
    <row r="2" ht="16.5" customHeight="1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</row>
    <row r="3" ht="16.5" customHeight="1">
      <c r="A3" s="78"/>
      <c r="B3" s="78"/>
      <c r="C3" s="83" t="s">
        <v>65</v>
      </c>
      <c r="D3" s="84">
        <v>0.0</v>
      </c>
      <c r="E3" s="84">
        <v>1.0</v>
      </c>
      <c r="F3" s="84">
        <v>2.0</v>
      </c>
      <c r="G3" s="84">
        <v>3.0</v>
      </c>
      <c r="H3" s="84">
        <v>4.0</v>
      </c>
      <c r="I3" s="84">
        <v>5.0</v>
      </c>
      <c r="J3" s="84">
        <v>6.0</v>
      </c>
      <c r="K3" s="84">
        <v>7.0</v>
      </c>
      <c r="L3" s="84">
        <v>8.0</v>
      </c>
      <c r="M3" s="84">
        <v>9.0</v>
      </c>
      <c r="N3" s="84">
        <v>10.0</v>
      </c>
      <c r="O3" s="84">
        <v>11.0</v>
      </c>
      <c r="P3" s="84">
        <v>12.0</v>
      </c>
      <c r="Q3" s="84">
        <v>13.0</v>
      </c>
      <c r="R3" s="84">
        <v>14.0</v>
      </c>
      <c r="S3" s="84">
        <v>15.0</v>
      </c>
      <c r="T3" s="84">
        <v>16.0</v>
      </c>
      <c r="U3" s="84">
        <v>17.0</v>
      </c>
      <c r="V3" s="84">
        <v>18.0</v>
      </c>
      <c r="W3" s="84">
        <v>19.0</v>
      </c>
      <c r="X3" s="84">
        <v>20.0</v>
      </c>
      <c r="Y3" s="84">
        <v>21.0</v>
      </c>
      <c r="Z3" s="84">
        <v>22.0</v>
      </c>
      <c r="AA3" s="84">
        <v>23.0</v>
      </c>
      <c r="AB3" s="84">
        <v>24.0</v>
      </c>
      <c r="AC3" s="84">
        <v>25.0</v>
      </c>
      <c r="AD3" s="84">
        <v>26.0</v>
      </c>
      <c r="AE3" s="84">
        <v>27.0</v>
      </c>
      <c r="AF3" s="84">
        <v>28.0</v>
      </c>
      <c r="AG3" s="84">
        <v>29.0</v>
      </c>
      <c r="AH3" s="84">
        <v>30.0</v>
      </c>
      <c r="AI3" s="84">
        <v>31.0</v>
      </c>
      <c r="AJ3" s="84">
        <v>32.0</v>
      </c>
      <c r="AK3" s="84">
        <v>33.0</v>
      </c>
      <c r="AL3" s="84">
        <v>34.0</v>
      </c>
      <c r="AM3" s="84">
        <v>35.0</v>
      </c>
      <c r="AN3" s="84">
        <v>36.0</v>
      </c>
      <c r="AO3" s="84">
        <v>37.0</v>
      </c>
      <c r="AP3" s="84">
        <v>38.0</v>
      </c>
      <c r="AQ3" s="84">
        <v>39.0</v>
      </c>
      <c r="AR3" s="84">
        <v>40.0</v>
      </c>
      <c r="AS3" s="84">
        <v>41.0</v>
      </c>
      <c r="AT3" s="84">
        <v>42.0</v>
      </c>
      <c r="AU3" s="84">
        <v>43.0</v>
      </c>
      <c r="AV3" s="84">
        <v>44.0</v>
      </c>
      <c r="AW3" s="84">
        <v>45.0</v>
      </c>
      <c r="AX3" s="84">
        <v>46.0</v>
      </c>
      <c r="AY3" s="84">
        <v>47.0</v>
      </c>
      <c r="AZ3" s="84">
        <v>48.0</v>
      </c>
      <c r="BA3" s="84">
        <v>49.0</v>
      </c>
      <c r="BB3" s="84">
        <v>50.0</v>
      </c>
      <c r="BC3" s="78"/>
      <c r="BD3" s="78"/>
    </row>
    <row r="4" ht="16.5" customHeight="1">
      <c r="A4" s="78"/>
      <c r="B4" s="78"/>
      <c r="C4" s="85" t="s">
        <v>66</v>
      </c>
      <c r="D4" s="78">
        <f>'Art. 11'!E7</f>
        <v>1</v>
      </c>
      <c r="E4" s="78">
        <f>'Art. 11'!F7</f>
        <v>0.992</v>
      </c>
      <c r="F4" s="78">
        <f>'Art. 11'!G7</f>
        <v>0.984</v>
      </c>
      <c r="G4" s="78">
        <f>'Art. 11'!H7</f>
        <v>0.976</v>
      </c>
      <c r="H4" s="78">
        <f>'Art. 11'!I7</f>
        <v>0.969</v>
      </c>
      <c r="I4" s="78">
        <f>'Art. 11'!J7</f>
        <v>0.961</v>
      </c>
      <c r="J4" s="78">
        <f>'Art. 11'!K7</f>
        <v>0.953</v>
      </c>
      <c r="K4" s="78">
        <f>'Art. 11'!L7</f>
        <v>0.945</v>
      </c>
      <c r="L4" s="78">
        <f>'Art. 11'!M7</f>
        <v>0.937</v>
      </c>
      <c r="M4" s="78">
        <f>'Art. 11'!N7</f>
        <v>0.929</v>
      </c>
      <c r="N4" s="78">
        <f>'Art. 11'!O7</f>
        <v>0.921</v>
      </c>
      <c r="O4" s="78">
        <f>'Art. 11'!P7</f>
        <v>0.913</v>
      </c>
      <c r="P4" s="78">
        <f>'Art. 11'!Q7</f>
        <v>0.905</v>
      </c>
      <c r="Q4" s="78">
        <f>'Art. 11'!R7</f>
        <v>0.897</v>
      </c>
      <c r="R4" s="78">
        <f>'Art. 11'!S7</f>
        <v>0.889</v>
      </c>
      <c r="S4" s="78">
        <f>'Art. 11'!T7</f>
        <v>0.88</v>
      </c>
      <c r="T4" s="78">
        <f>'Art. 11'!U7</f>
        <v>0.872</v>
      </c>
      <c r="U4" s="78">
        <f>'Art. 11'!V7</f>
        <v>0.864</v>
      </c>
      <c r="V4" s="78">
        <f>'Art. 11'!W7</f>
        <v>0.856</v>
      </c>
      <c r="W4" s="78">
        <f>'Art. 11'!X7</f>
        <v>0.848</v>
      </c>
      <c r="X4" s="78">
        <f>'Art. 11'!Y7</f>
        <v>0.84</v>
      </c>
      <c r="Y4" s="78">
        <f>'Art. 11'!Z7</f>
        <v>0.831</v>
      </c>
      <c r="Z4" s="78">
        <f>'Art. 11'!AA7</f>
        <v>0.823</v>
      </c>
      <c r="AA4" s="78">
        <f>'Art. 11'!AB7</f>
        <v>0.815</v>
      </c>
      <c r="AB4" s="78">
        <f>'Art. 11'!AC7</f>
        <v>0.806</v>
      </c>
      <c r="AC4" s="78">
        <f>'Art. 11'!AD7</f>
        <v>0.798</v>
      </c>
      <c r="AD4" s="78">
        <f>'Art. 11'!AE7</f>
        <v>0.79</v>
      </c>
      <c r="AE4" s="78">
        <f>'Art. 11'!AF7</f>
        <v>0.781</v>
      </c>
      <c r="AF4" s="78">
        <f>'Art. 11'!AG7</f>
        <v>0.773</v>
      </c>
      <c r="AG4" s="78">
        <f>'Art. 11'!AH7</f>
        <v>0.764</v>
      </c>
      <c r="AH4" s="78">
        <f>'Art. 11'!AI7</f>
        <v>0.756</v>
      </c>
      <c r="AI4" s="78">
        <f>'Art. 11'!AJ7</f>
        <v>0.747</v>
      </c>
      <c r="AJ4" s="78">
        <f>'Art. 11'!AK7</f>
        <v>0.739</v>
      </c>
      <c r="AK4" s="78">
        <f>'Art. 11'!AL7</f>
        <v>0.73</v>
      </c>
      <c r="AL4" s="78">
        <f>'Art. 11'!AM7</f>
        <v>0.721</v>
      </c>
      <c r="AM4" s="78">
        <f>'Art. 11'!AN7</f>
        <v>0.713</v>
      </c>
      <c r="AN4" s="78">
        <f>'Art. 11'!AO7</f>
        <v>0.704</v>
      </c>
      <c r="AO4" s="78">
        <f>'Art. 11'!AP7</f>
        <v>0.695</v>
      </c>
      <c r="AP4" s="78">
        <f>'Art. 11'!AQ7</f>
        <v>0.686</v>
      </c>
      <c r="AQ4" s="78">
        <f>'Art. 11'!AR7</f>
        <v>0.678</v>
      </c>
      <c r="AR4" s="78">
        <f>'Art. 11'!AS7</f>
        <v>0.669</v>
      </c>
      <c r="AS4" s="78">
        <f>'Art. 11'!AT7</f>
        <v>0.66</v>
      </c>
      <c r="AT4" s="78">
        <f>'Art. 11'!AU7</f>
        <v>0.651</v>
      </c>
      <c r="AU4" s="78">
        <f>'Art. 11'!AV7</f>
        <v>0.642</v>
      </c>
      <c r="AV4" s="78">
        <f>'Art. 11'!AW7</f>
        <v>0.633</v>
      </c>
      <c r="AW4" s="78">
        <f>'Art. 11'!AX7</f>
        <v>0.624</v>
      </c>
      <c r="AX4" s="78">
        <f>'Art. 11'!AY7</f>
        <v>0.615</v>
      </c>
      <c r="AY4" s="78">
        <f>'Art. 11'!AZ7</f>
        <v>0.606</v>
      </c>
      <c r="AZ4" s="78">
        <f>'Art. 11'!BA7</f>
        <v>0.597</v>
      </c>
      <c r="BA4" s="78">
        <f>'Art. 11'!BB7</f>
        <v>0.587</v>
      </c>
      <c r="BB4" s="86">
        <f>'Art. 11'!BC7</f>
        <v>0.578</v>
      </c>
      <c r="BC4" s="78"/>
      <c r="BD4" s="78"/>
    </row>
    <row r="5" ht="16.5" customHeight="1">
      <c r="A5" s="78"/>
      <c r="B5" s="78"/>
      <c r="C5" s="85" t="s">
        <v>67</v>
      </c>
      <c r="D5" s="78">
        <f>'Interface +A2'!C19+'Interface +A2'!D19</f>
        <v>-590.2</v>
      </c>
      <c r="E5" s="78">
        <f>'Interface +A2'!$E$19/$M$1</f>
        <v>0</v>
      </c>
      <c r="F5" s="78">
        <f>'Interface +A2'!$E$19/$M$1</f>
        <v>0</v>
      </c>
      <c r="G5" s="78">
        <f>'Interface +A2'!$E$19/$M$1</f>
        <v>0</v>
      </c>
      <c r="H5" s="78">
        <f>'Interface +A2'!$E$19/$M$1</f>
        <v>0</v>
      </c>
      <c r="I5" s="78">
        <f>'Interface +A2'!$E$19/$M$1</f>
        <v>0</v>
      </c>
      <c r="J5" s="78">
        <f>'Interface +A2'!$E$19/$M$1</f>
        <v>0</v>
      </c>
      <c r="K5" s="78">
        <f>'Interface +A2'!$E$19/$M$1</f>
        <v>0</v>
      </c>
      <c r="L5" s="78">
        <f>'Interface +A2'!$E$19/$M$1</f>
        <v>0</v>
      </c>
      <c r="M5" s="78">
        <f>'Interface +A2'!$E$19/$M$1</f>
        <v>0</v>
      </c>
      <c r="N5" s="78">
        <f>'Interface +A2'!$E$19/$M$1</f>
        <v>0</v>
      </c>
      <c r="O5" s="78">
        <f>'Interface +A2'!$E$19/$M$1</f>
        <v>0</v>
      </c>
      <c r="P5" s="78">
        <f>'Interface +A2'!$E$19/$M$1</f>
        <v>0</v>
      </c>
      <c r="Q5" s="78">
        <f>'Interface +A2'!$E$19/$M$1</f>
        <v>0</v>
      </c>
      <c r="R5" s="78">
        <f>'Interface +A2'!$E$19/$M$1</f>
        <v>0</v>
      </c>
      <c r="S5" s="78">
        <f>'Interface +A2'!$E$19/$M$1</f>
        <v>0</v>
      </c>
      <c r="T5" s="78">
        <f>'Interface +A2'!$E$19/$M$1</f>
        <v>0</v>
      </c>
      <c r="U5" s="78">
        <f>'Interface +A2'!$E$19/$M$1</f>
        <v>0</v>
      </c>
      <c r="V5" s="78">
        <f>'Interface +A2'!$E$19/$M$1</f>
        <v>0</v>
      </c>
      <c r="W5" s="78">
        <f>'Interface +A2'!$E$19/$M$1</f>
        <v>0</v>
      </c>
      <c r="X5" s="78">
        <f>'Interface +A2'!$E$19/$M$1</f>
        <v>0</v>
      </c>
      <c r="Y5" s="78">
        <f>'Interface +A2'!$E$19/$M$1</f>
        <v>0</v>
      </c>
      <c r="Z5" s="78">
        <f>'Interface +A2'!$E$19/$M$1</f>
        <v>0</v>
      </c>
      <c r="AA5" s="78">
        <f>'Interface +A2'!$E$19/$M$1</f>
        <v>0</v>
      </c>
      <c r="AB5" s="78">
        <f>'Interface +A2'!$E$19/$M$1</f>
        <v>0</v>
      </c>
      <c r="AC5" s="78">
        <f>'Interface +A2'!$E$19/$M$1</f>
        <v>0</v>
      </c>
      <c r="AD5" s="78">
        <f>'Interface +A2'!$E$19/$M$1</f>
        <v>0</v>
      </c>
      <c r="AE5" s="78">
        <f>'Interface +A2'!$E$19/$M$1</f>
        <v>0</v>
      </c>
      <c r="AF5" s="78">
        <f>'Interface +A2'!$E$19/$M$1</f>
        <v>0</v>
      </c>
      <c r="AG5" s="78">
        <f>'Interface +A2'!$E$19/$M$1</f>
        <v>0</v>
      </c>
      <c r="AH5" s="78">
        <f>'Interface +A2'!$E$19/$M$1</f>
        <v>0</v>
      </c>
      <c r="AI5" s="78">
        <f>'Interface +A2'!$E$19/$M$1</f>
        <v>0</v>
      </c>
      <c r="AJ5" s="78">
        <f>'Interface +A2'!$E$19/$M$1</f>
        <v>0</v>
      </c>
      <c r="AK5" s="78">
        <f>'Interface +A2'!$E$19/$M$1</f>
        <v>0</v>
      </c>
      <c r="AL5" s="78">
        <f>'Interface +A2'!$E$19/$M$1</f>
        <v>0</v>
      </c>
      <c r="AM5" s="78">
        <f>'Interface +A2'!$E$19/$M$1</f>
        <v>0</v>
      </c>
      <c r="AN5" s="78">
        <f>'Interface +A2'!$E$19/$M$1</f>
        <v>0</v>
      </c>
      <c r="AO5" s="78">
        <f>'Interface +A2'!$E$19/$M$1</f>
        <v>0</v>
      </c>
      <c r="AP5" s="78">
        <f>'Interface +A2'!$E$19/$M$1</f>
        <v>0</v>
      </c>
      <c r="AQ5" s="78">
        <f>'Interface +A2'!$E$19/$M$1</f>
        <v>0</v>
      </c>
      <c r="AR5" s="78">
        <f>'Interface +A2'!$E$19/$M$1</f>
        <v>0</v>
      </c>
      <c r="AS5" s="78">
        <f>'Interface +A2'!$E$19/$M$1</f>
        <v>0</v>
      </c>
      <c r="AT5" s="78">
        <f>'Interface +A2'!$E$19/$M$1</f>
        <v>0</v>
      </c>
      <c r="AU5" s="78">
        <f>'Interface +A2'!$E$19/$M$1</f>
        <v>0</v>
      </c>
      <c r="AV5" s="78">
        <f>'Interface +A2'!$E$19/$M$1</f>
        <v>0</v>
      </c>
      <c r="AW5" s="78">
        <f>'Interface +A2'!$E$19/$M$1</f>
        <v>0</v>
      </c>
      <c r="AX5" s="78">
        <f>'Interface +A2'!$E$19/$M$1</f>
        <v>0</v>
      </c>
      <c r="AY5" s="78">
        <f>'Interface +A2'!$E$19/$M$1</f>
        <v>0</v>
      </c>
      <c r="AZ5" s="78">
        <f>'Interface +A2'!$E$19/$M$1</f>
        <v>0</v>
      </c>
      <c r="BA5" s="78">
        <f>'Interface +A2'!$E$19/$M$1</f>
        <v>0</v>
      </c>
      <c r="BB5" s="78">
        <f>('Interface +A2'!$E$19/M1)+'Interface +A2'!F19+'Interface +A2'!H19</f>
        <v>525</v>
      </c>
      <c r="BC5" s="78"/>
      <c r="BD5" s="78"/>
    </row>
    <row r="6" ht="16.5" customHeight="1">
      <c r="A6" s="78"/>
      <c r="B6" s="78"/>
      <c r="C6" s="85" t="s">
        <v>68</v>
      </c>
      <c r="D6" s="78">
        <f t="shared" ref="D6:BB6" si="1">D5*D4</f>
        <v>-590.2</v>
      </c>
      <c r="E6" s="78">
        <f t="shared" si="1"/>
        <v>0</v>
      </c>
      <c r="F6" s="78">
        <f t="shared" si="1"/>
        <v>0</v>
      </c>
      <c r="G6" s="78">
        <f t="shared" si="1"/>
        <v>0</v>
      </c>
      <c r="H6" s="78">
        <f t="shared" si="1"/>
        <v>0</v>
      </c>
      <c r="I6" s="78">
        <f t="shared" si="1"/>
        <v>0</v>
      </c>
      <c r="J6" s="78">
        <f t="shared" si="1"/>
        <v>0</v>
      </c>
      <c r="K6" s="78">
        <f t="shared" si="1"/>
        <v>0</v>
      </c>
      <c r="L6" s="78">
        <f t="shared" si="1"/>
        <v>0</v>
      </c>
      <c r="M6" s="78">
        <f t="shared" si="1"/>
        <v>0</v>
      </c>
      <c r="N6" s="78">
        <f t="shared" si="1"/>
        <v>0</v>
      </c>
      <c r="O6" s="78">
        <f t="shared" si="1"/>
        <v>0</v>
      </c>
      <c r="P6" s="78">
        <f t="shared" si="1"/>
        <v>0</v>
      </c>
      <c r="Q6" s="78">
        <f t="shared" si="1"/>
        <v>0</v>
      </c>
      <c r="R6" s="78">
        <f t="shared" si="1"/>
        <v>0</v>
      </c>
      <c r="S6" s="78">
        <f t="shared" si="1"/>
        <v>0</v>
      </c>
      <c r="T6" s="78">
        <f t="shared" si="1"/>
        <v>0</v>
      </c>
      <c r="U6" s="78">
        <f t="shared" si="1"/>
        <v>0</v>
      </c>
      <c r="V6" s="78">
        <f t="shared" si="1"/>
        <v>0</v>
      </c>
      <c r="W6" s="78">
        <f t="shared" si="1"/>
        <v>0</v>
      </c>
      <c r="X6" s="78">
        <f t="shared" si="1"/>
        <v>0</v>
      </c>
      <c r="Y6" s="78">
        <f t="shared" si="1"/>
        <v>0</v>
      </c>
      <c r="Z6" s="78">
        <f t="shared" si="1"/>
        <v>0</v>
      </c>
      <c r="AA6" s="78">
        <f t="shared" si="1"/>
        <v>0</v>
      </c>
      <c r="AB6" s="78">
        <f t="shared" si="1"/>
        <v>0</v>
      </c>
      <c r="AC6" s="78">
        <f t="shared" si="1"/>
        <v>0</v>
      </c>
      <c r="AD6" s="78">
        <f t="shared" si="1"/>
        <v>0</v>
      </c>
      <c r="AE6" s="78">
        <f t="shared" si="1"/>
        <v>0</v>
      </c>
      <c r="AF6" s="78">
        <f t="shared" si="1"/>
        <v>0</v>
      </c>
      <c r="AG6" s="78">
        <f t="shared" si="1"/>
        <v>0</v>
      </c>
      <c r="AH6" s="78">
        <f t="shared" si="1"/>
        <v>0</v>
      </c>
      <c r="AI6" s="78">
        <f t="shared" si="1"/>
        <v>0</v>
      </c>
      <c r="AJ6" s="78">
        <f t="shared" si="1"/>
        <v>0</v>
      </c>
      <c r="AK6" s="78">
        <f t="shared" si="1"/>
        <v>0</v>
      </c>
      <c r="AL6" s="78">
        <f t="shared" si="1"/>
        <v>0</v>
      </c>
      <c r="AM6" s="78">
        <f t="shared" si="1"/>
        <v>0</v>
      </c>
      <c r="AN6" s="78">
        <f t="shared" si="1"/>
        <v>0</v>
      </c>
      <c r="AO6" s="78">
        <f t="shared" si="1"/>
        <v>0</v>
      </c>
      <c r="AP6" s="78">
        <f t="shared" si="1"/>
        <v>0</v>
      </c>
      <c r="AQ6" s="78">
        <f t="shared" si="1"/>
        <v>0</v>
      </c>
      <c r="AR6" s="78">
        <f t="shared" si="1"/>
        <v>0</v>
      </c>
      <c r="AS6" s="78">
        <f t="shared" si="1"/>
        <v>0</v>
      </c>
      <c r="AT6" s="78">
        <f t="shared" si="1"/>
        <v>0</v>
      </c>
      <c r="AU6" s="78">
        <f t="shared" si="1"/>
        <v>0</v>
      </c>
      <c r="AV6" s="78">
        <f t="shared" si="1"/>
        <v>0</v>
      </c>
      <c r="AW6" s="78">
        <f t="shared" si="1"/>
        <v>0</v>
      </c>
      <c r="AX6" s="78">
        <f t="shared" si="1"/>
        <v>0</v>
      </c>
      <c r="AY6" s="78">
        <f t="shared" si="1"/>
        <v>0</v>
      </c>
      <c r="AZ6" s="78">
        <f t="shared" si="1"/>
        <v>0</v>
      </c>
      <c r="BA6" s="78">
        <f t="shared" si="1"/>
        <v>0</v>
      </c>
      <c r="BB6" s="78">
        <f t="shared" si="1"/>
        <v>303.45</v>
      </c>
      <c r="BC6" s="78"/>
      <c r="BD6" s="78"/>
    </row>
    <row r="7" ht="16.5" customHeight="1">
      <c r="A7" s="78"/>
      <c r="B7" s="78"/>
      <c r="C7" s="85" t="s">
        <v>69</v>
      </c>
      <c r="D7" s="87"/>
      <c r="E7" s="88">
        <f t="shared" ref="E7:BB7" si="2">IF(MOD(E3,$M$1)=0,1,0)</f>
        <v>0</v>
      </c>
      <c r="F7" s="88">
        <f t="shared" si="2"/>
        <v>0</v>
      </c>
      <c r="G7" s="88">
        <f t="shared" si="2"/>
        <v>0</v>
      </c>
      <c r="H7" s="88">
        <f t="shared" si="2"/>
        <v>0</v>
      </c>
      <c r="I7" s="88">
        <f t="shared" si="2"/>
        <v>0</v>
      </c>
      <c r="J7" s="88">
        <f t="shared" si="2"/>
        <v>0</v>
      </c>
      <c r="K7" s="88">
        <f t="shared" si="2"/>
        <v>0</v>
      </c>
      <c r="L7" s="88">
        <f t="shared" si="2"/>
        <v>0</v>
      </c>
      <c r="M7" s="88">
        <f t="shared" si="2"/>
        <v>0</v>
      </c>
      <c r="N7" s="88">
        <f t="shared" si="2"/>
        <v>0</v>
      </c>
      <c r="O7" s="88">
        <f t="shared" si="2"/>
        <v>0</v>
      </c>
      <c r="P7" s="88">
        <f t="shared" si="2"/>
        <v>0</v>
      </c>
      <c r="Q7" s="88">
        <f t="shared" si="2"/>
        <v>0</v>
      </c>
      <c r="R7" s="88">
        <f t="shared" si="2"/>
        <v>0</v>
      </c>
      <c r="S7" s="88">
        <f t="shared" si="2"/>
        <v>0</v>
      </c>
      <c r="T7" s="88">
        <f t="shared" si="2"/>
        <v>0</v>
      </c>
      <c r="U7" s="88">
        <f t="shared" si="2"/>
        <v>0</v>
      </c>
      <c r="V7" s="88">
        <f t="shared" si="2"/>
        <v>0</v>
      </c>
      <c r="W7" s="88">
        <f t="shared" si="2"/>
        <v>0</v>
      </c>
      <c r="X7" s="88">
        <f t="shared" si="2"/>
        <v>0</v>
      </c>
      <c r="Y7" s="88">
        <f t="shared" si="2"/>
        <v>0</v>
      </c>
      <c r="Z7" s="88">
        <f t="shared" si="2"/>
        <v>0</v>
      </c>
      <c r="AA7" s="88">
        <f t="shared" si="2"/>
        <v>0</v>
      </c>
      <c r="AB7" s="88">
        <f t="shared" si="2"/>
        <v>0</v>
      </c>
      <c r="AC7" s="88">
        <f t="shared" si="2"/>
        <v>0</v>
      </c>
      <c r="AD7" s="88">
        <f t="shared" si="2"/>
        <v>0</v>
      </c>
      <c r="AE7" s="88">
        <f t="shared" si="2"/>
        <v>0</v>
      </c>
      <c r="AF7" s="88">
        <f t="shared" si="2"/>
        <v>0</v>
      </c>
      <c r="AG7" s="88">
        <f t="shared" si="2"/>
        <v>0</v>
      </c>
      <c r="AH7" s="88">
        <f t="shared" si="2"/>
        <v>0</v>
      </c>
      <c r="AI7" s="88">
        <f t="shared" si="2"/>
        <v>0</v>
      </c>
      <c r="AJ7" s="88">
        <f t="shared" si="2"/>
        <v>0</v>
      </c>
      <c r="AK7" s="88">
        <f t="shared" si="2"/>
        <v>0</v>
      </c>
      <c r="AL7" s="88">
        <f t="shared" si="2"/>
        <v>0</v>
      </c>
      <c r="AM7" s="88">
        <f t="shared" si="2"/>
        <v>0</v>
      </c>
      <c r="AN7" s="88">
        <f t="shared" si="2"/>
        <v>0</v>
      </c>
      <c r="AO7" s="88">
        <f t="shared" si="2"/>
        <v>0</v>
      </c>
      <c r="AP7" s="88">
        <f t="shared" si="2"/>
        <v>0</v>
      </c>
      <c r="AQ7" s="88">
        <f t="shared" si="2"/>
        <v>0</v>
      </c>
      <c r="AR7" s="88">
        <f t="shared" si="2"/>
        <v>0</v>
      </c>
      <c r="AS7" s="88">
        <f t="shared" si="2"/>
        <v>0</v>
      </c>
      <c r="AT7" s="88">
        <f t="shared" si="2"/>
        <v>0</v>
      </c>
      <c r="AU7" s="88">
        <f t="shared" si="2"/>
        <v>0</v>
      </c>
      <c r="AV7" s="88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8">
        <f t="shared" si="2"/>
        <v>0</v>
      </c>
      <c r="BC7" s="78"/>
      <c r="BD7" s="78"/>
    </row>
    <row r="8" ht="16.5" customHeight="1">
      <c r="A8" s="78"/>
      <c r="B8" s="78"/>
      <c r="C8" s="85" t="s">
        <v>70</v>
      </c>
      <c r="D8" s="87"/>
      <c r="E8" s="89">
        <f t="shared" ref="E8:BB8" si="3">IF($D$1=0,1,IF(MOD(E3,$M$1*$D$1)=0,$G$1,1))</f>
        <v>1</v>
      </c>
      <c r="F8" s="89">
        <f t="shared" si="3"/>
        <v>1</v>
      </c>
      <c r="G8" s="89">
        <f t="shared" si="3"/>
        <v>1</v>
      </c>
      <c r="H8" s="89">
        <f t="shared" si="3"/>
        <v>1</v>
      </c>
      <c r="I8" s="89">
        <f t="shared" si="3"/>
        <v>1</v>
      </c>
      <c r="J8" s="89">
        <f t="shared" si="3"/>
        <v>1</v>
      </c>
      <c r="K8" s="89">
        <f t="shared" si="3"/>
        <v>1</v>
      </c>
      <c r="L8" s="89">
        <f t="shared" si="3"/>
        <v>1</v>
      </c>
      <c r="M8" s="89">
        <f t="shared" si="3"/>
        <v>1</v>
      </c>
      <c r="N8" s="89">
        <f t="shared" si="3"/>
        <v>1</v>
      </c>
      <c r="O8" s="89">
        <f t="shared" si="3"/>
        <v>1</v>
      </c>
      <c r="P8" s="89">
        <f t="shared" si="3"/>
        <v>1</v>
      </c>
      <c r="Q8" s="89">
        <f t="shared" si="3"/>
        <v>1</v>
      </c>
      <c r="R8" s="89">
        <f t="shared" si="3"/>
        <v>1</v>
      </c>
      <c r="S8" s="89">
        <f t="shared" si="3"/>
        <v>1</v>
      </c>
      <c r="T8" s="89">
        <f t="shared" si="3"/>
        <v>1</v>
      </c>
      <c r="U8" s="89">
        <f t="shared" si="3"/>
        <v>1</v>
      </c>
      <c r="V8" s="89">
        <f t="shared" si="3"/>
        <v>1</v>
      </c>
      <c r="W8" s="89">
        <f t="shared" si="3"/>
        <v>1</v>
      </c>
      <c r="X8" s="89">
        <f t="shared" si="3"/>
        <v>1</v>
      </c>
      <c r="Y8" s="89">
        <f t="shared" si="3"/>
        <v>1</v>
      </c>
      <c r="Z8" s="89">
        <f t="shared" si="3"/>
        <v>1</v>
      </c>
      <c r="AA8" s="89">
        <f t="shared" si="3"/>
        <v>1</v>
      </c>
      <c r="AB8" s="89">
        <f t="shared" si="3"/>
        <v>1</v>
      </c>
      <c r="AC8" s="89">
        <f t="shared" si="3"/>
        <v>1</v>
      </c>
      <c r="AD8" s="89">
        <f t="shared" si="3"/>
        <v>1</v>
      </c>
      <c r="AE8" s="89">
        <f t="shared" si="3"/>
        <v>1</v>
      </c>
      <c r="AF8" s="89">
        <f t="shared" si="3"/>
        <v>1</v>
      </c>
      <c r="AG8" s="89">
        <f t="shared" si="3"/>
        <v>1</v>
      </c>
      <c r="AH8" s="89">
        <f t="shared" si="3"/>
        <v>1</v>
      </c>
      <c r="AI8" s="89">
        <f t="shared" si="3"/>
        <v>1</v>
      </c>
      <c r="AJ8" s="89">
        <f t="shared" si="3"/>
        <v>1</v>
      </c>
      <c r="AK8" s="89">
        <f t="shared" si="3"/>
        <v>1</v>
      </c>
      <c r="AL8" s="89">
        <f t="shared" si="3"/>
        <v>1</v>
      </c>
      <c r="AM8" s="89">
        <f t="shared" si="3"/>
        <v>1</v>
      </c>
      <c r="AN8" s="89">
        <f t="shared" si="3"/>
        <v>1</v>
      </c>
      <c r="AO8" s="89">
        <f t="shared" si="3"/>
        <v>1</v>
      </c>
      <c r="AP8" s="89">
        <f t="shared" si="3"/>
        <v>1</v>
      </c>
      <c r="AQ8" s="89">
        <f t="shared" si="3"/>
        <v>1</v>
      </c>
      <c r="AR8" s="89">
        <f t="shared" si="3"/>
        <v>1</v>
      </c>
      <c r="AS8" s="89">
        <f t="shared" si="3"/>
        <v>1</v>
      </c>
      <c r="AT8" s="89">
        <f t="shared" si="3"/>
        <v>1</v>
      </c>
      <c r="AU8" s="89">
        <f t="shared" si="3"/>
        <v>1</v>
      </c>
      <c r="AV8" s="89">
        <f t="shared" si="3"/>
        <v>1</v>
      </c>
      <c r="AW8" s="89">
        <f t="shared" si="3"/>
        <v>1</v>
      </c>
      <c r="AX8" s="89">
        <f t="shared" si="3"/>
        <v>1</v>
      </c>
      <c r="AY8" s="89">
        <f t="shared" si="3"/>
        <v>1</v>
      </c>
      <c r="AZ8" s="89">
        <f t="shared" si="3"/>
        <v>1</v>
      </c>
      <c r="BA8" s="89">
        <f t="shared" si="3"/>
        <v>1</v>
      </c>
      <c r="BB8" s="89">
        <f t="shared" si="3"/>
        <v>1</v>
      </c>
      <c r="BC8" s="78"/>
      <c r="BD8" s="78"/>
    </row>
    <row r="9" ht="16.5" customHeight="1">
      <c r="A9" s="78"/>
      <c r="B9" s="78"/>
      <c r="C9" s="85" t="s">
        <v>67</v>
      </c>
      <c r="D9" s="78">
        <f>D7*('Interface +A2'!$C$19+'Interface +A2'!$D$19+'Interface +A2'!$F$19)</f>
        <v>0</v>
      </c>
      <c r="E9" s="78">
        <f>E7*('Interface +A2'!$C$19+'Interface +A2'!$D$19+'Interface +A2'!$F$19)*E8</f>
        <v>0</v>
      </c>
      <c r="F9" s="78">
        <f>F7*('Interface +A2'!$C$19+'Interface +A2'!$D$19+'Interface +A2'!$F$19)*F8</f>
        <v>0</v>
      </c>
      <c r="G9" s="78">
        <f>G7*('Interface +A2'!$C$19+'Interface +A2'!$D$19+'Interface +A2'!$F$19)*G8</f>
        <v>0</v>
      </c>
      <c r="H9" s="78">
        <f>H7*('Interface +A2'!$C$19+'Interface +A2'!$D$19+'Interface +A2'!$F$19)*H8</f>
        <v>0</v>
      </c>
      <c r="I9" s="78">
        <f>I7*('Interface +A2'!$C$19+'Interface +A2'!$D$19+'Interface +A2'!$F$19)*I8</f>
        <v>0</v>
      </c>
      <c r="J9" s="78">
        <f>J7*('Interface +A2'!$C$19+'Interface +A2'!$D$19+'Interface +A2'!$F$19)*J8</f>
        <v>0</v>
      </c>
      <c r="K9" s="78">
        <f>K7*('Interface +A2'!$C$19+'Interface +A2'!$D$19+'Interface +A2'!$F$19)*K8</f>
        <v>0</v>
      </c>
      <c r="L9" s="78">
        <f>L7*('Interface +A2'!$C$19+'Interface +A2'!$D$19+'Interface +A2'!$F$19)*L8</f>
        <v>0</v>
      </c>
      <c r="M9" s="78">
        <f>M7*('Interface +A2'!$C$19+'Interface +A2'!$D$19+'Interface +A2'!$F$19)*M8</f>
        <v>0</v>
      </c>
      <c r="N9" s="78">
        <f>N7*('Interface +A2'!$C$19+'Interface +A2'!$D$19+'Interface +A2'!$F$19)*N8</f>
        <v>0</v>
      </c>
      <c r="O9" s="78">
        <f>O7*('Interface +A2'!$C$19+'Interface +A2'!$D$19+'Interface +A2'!$F$19)*O8</f>
        <v>0</v>
      </c>
      <c r="P9" s="78">
        <f>P7*('Interface +A2'!$C$19+'Interface +A2'!$D$19+'Interface +A2'!$F$19)*P8</f>
        <v>0</v>
      </c>
      <c r="Q9" s="78">
        <f>Q7*('Interface +A2'!$C$19+'Interface +A2'!$D$19+'Interface +A2'!$F$19)*Q8</f>
        <v>0</v>
      </c>
      <c r="R9" s="78">
        <f>R7*('Interface +A2'!$C$19+'Interface +A2'!$D$19+'Interface +A2'!$F$19)*R8</f>
        <v>0</v>
      </c>
      <c r="S9" s="78">
        <f>S7*('Interface +A2'!$C$19+'Interface +A2'!$D$19+'Interface +A2'!$F$19)*S8</f>
        <v>0</v>
      </c>
      <c r="T9" s="78">
        <f>T7*('Interface +A2'!$C$19+'Interface +A2'!$D$19+'Interface +A2'!$F$19)*T8</f>
        <v>0</v>
      </c>
      <c r="U9" s="78">
        <f>U7*('Interface +A2'!$C$19+'Interface +A2'!$D$19+'Interface +A2'!$F$19)*U8</f>
        <v>0</v>
      </c>
      <c r="V9" s="78">
        <f>V7*('Interface +A2'!$C$19+'Interface +A2'!$D$19+'Interface +A2'!$F$19)*V8</f>
        <v>0</v>
      </c>
      <c r="W9" s="78">
        <f>W7*('Interface +A2'!$C$19+'Interface +A2'!$D$19+'Interface +A2'!$F$19)*W8</f>
        <v>0</v>
      </c>
      <c r="X9" s="78">
        <f>X7*('Interface +A2'!$C$19+'Interface +A2'!$D$19+'Interface +A2'!$F$19)*X8</f>
        <v>0</v>
      </c>
      <c r="Y9" s="78">
        <f>Y7*('Interface +A2'!$C$19+'Interface +A2'!$D$19+'Interface +A2'!$F$19)*Y8</f>
        <v>0</v>
      </c>
      <c r="Z9" s="78">
        <f>Z7*('Interface +A2'!$C$19+'Interface +A2'!$D$19+'Interface +A2'!$F$19)*Z8</f>
        <v>0</v>
      </c>
      <c r="AA9" s="78">
        <f>AA7*('Interface +A2'!$C$19+'Interface +A2'!$D$19+'Interface +A2'!$F$19)*AA8</f>
        <v>0</v>
      </c>
      <c r="AB9" s="78">
        <f>AB7*('Interface +A2'!$C$19+'Interface +A2'!$D$19+'Interface +A2'!$F$19)*AB8</f>
        <v>0</v>
      </c>
      <c r="AC9" s="78">
        <f>AC7*('Interface +A2'!$C$19+'Interface +A2'!$D$19+'Interface +A2'!$F$19)*AC8</f>
        <v>0</v>
      </c>
      <c r="AD9" s="78">
        <f>AD7*('Interface +A2'!$C$19+'Interface +A2'!$D$19+'Interface +A2'!$F$19)*AD8</f>
        <v>0</v>
      </c>
      <c r="AE9" s="78">
        <f>AE7*('Interface +A2'!$C$19+'Interface +A2'!$D$19+'Interface +A2'!$F$19)*AE8</f>
        <v>0</v>
      </c>
      <c r="AF9" s="78">
        <f>AF7*('Interface +A2'!$C$19+'Interface +A2'!$D$19+'Interface +A2'!$F$19)*AF8</f>
        <v>0</v>
      </c>
      <c r="AG9" s="78">
        <f>AG7*('Interface +A2'!$C$19+'Interface +A2'!$D$19+'Interface +A2'!$F$19)*AG8</f>
        <v>0</v>
      </c>
      <c r="AH9" s="78">
        <f>AH7*('Interface +A2'!$C$19+'Interface +A2'!$D$19+'Interface +A2'!$F$19)*AH8</f>
        <v>0</v>
      </c>
      <c r="AI9" s="78">
        <f>AI7*('Interface +A2'!$C$19+'Interface +A2'!$D$19+'Interface +A2'!$F$19)*AI8</f>
        <v>0</v>
      </c>
      <c r="AJ9" s="78">
        <f>AJ7*('Interface +A2'!$C$19+'Interface +A2'!$D$19+'Interface +A2'!$F$19)*AJ8</f>
        <v>0</v>
      </c>
      <c r="AK9" s="78">
        <f>AK7*('Interface +A2'!$C$19+'Interface +A2'!$D$19+'Interface +A2'!$F$19)*AK8</f>
        <v>0</v>
      </c>
      <c r="AL9" s="78">
        <f>AL7*('Interface +A2'!$C$19+'Interface +A2'!$D$19+'Interface +A2'!$F$19)*AL8</f>
        <v>0</v>
      </c>
      <c r="AM9" s="78">
        <f>AM7*('Interface +A2'!$C$19+'Interface +A2'!$D$19+'Interface +A2'!$F$19)*AM8</f>
        <v>0</v>
      </c>
      <c r="AN9" s="78">
        <f>AN7*('Interface +A2'!$C$19+'Interface +A2'!$D$19+'Interface +A2'!$F$19)*AN8</f>
        <v>0</v>
      </c>
      <c r="AO9" s="78">
        <f>AO7*('Interface +A2'!$C$19+'Interface +A2'!$D$19+'Interface +A2'!$F$19)*AO8</f>
        <v>0</v>
      </c>
      <c r="AP9" s="78">
        <f>AP7*('Interface +A2'!$C$19+'Interface +A2'!$D$19+'Interface +A2'!$F$19)*AP8</f>
        <v>0</v>
      </c>
      <c r="AQ9" s="78">
        <f>AQ7*('Interface +A2'!$C$19+'Interface +A2'!$D$19+'Interface +A2'!$F$19)*AQ8</f>
        <v>0</v>
      </c>
      <c r="AR9" s="78">
        <f>AR7*('Interface +A2'!$C$19+'Interface +A2'!$D$19+'Interface +A2'!$F$19)*AR8</f>
        <v>0</v>
      </c>
      <c r="AS9" s="78">
        <f>AS7*('Interface +A2'!$C$19+'Interface +A2'!$D$19+'Interface +A2'!$F$19)*AS8</f>
        <v>0</v>
      </c>
      <c r="AT9" s="78">
        <f>AT7*('Interface +A2'!$C$19+'Interface +A2'!$D$19+'Interface +A2'!$F$19)*AT8</f>
        <v>0</v>
      </c>
      <c r="AU9" s="78">
        <f>AU7*('Interface +A2'!$C$19+'Interface +A2'!$D$19+'Interface +A2'!$F$19)*AU8</f>
        <v>0</v>
      </c>
      <c r="AV9" s="78">
        <f>AV7*('Interface +A2'!$C$19+'Interface +A2'!$D$19+'Interface +A2'!$F$19)*AV8</f>
        <v>0</v>
      </c>
      <c r="AW9" s="78">
        <f>AW7*('Interface +A2'!$C$19+'Interface +A2'!$D$19+'Interface +A2'!$F$19)*AW8</f>
        <v>0</v>
      </c>
      <c r="AX9" s="78">
        <f>AX7*('Interface +A2'!$C$19+'Interface +A2'!$D$19+'Interface +A2'!$F$19)*AX8</f>
        <v>0</v>
      </c>
      <c r="AY9" s="78">
        <f>AY7*('Interface +A2'!$C$19+'Interface +A2'!$D$19+'Interface +A2'!$F$19)*AY8</f>
        <v>0</v>
      </c>
      <c r="AZ9" s="78">
        <f>AZ7*('Interface +A2'!$C$19+'Interface +A2'!$D$19+'Interface +A2'!$F$19)*AZ8</f>
        <v>0</v>
      </c>
      <c r="BA9" s="78">
        <f>BA7*('Interface +A2'!$C$19+'Interface +A2'!$D$19+'Interface +A2'!$F$19)*BA8</f>
        <v>0</v>
      </c>
      <c r="BB9" s="78">
        <f>BB7*('Interface +A2'!$C$19+'Interface +A2'!$D$19+'Interface +A2'!$F$19)*BB8</f>
        <v>0</v>
      </c>
      <c r="BC9" s="78"/>
      <c r="BD9" s="78"/>
    </row>
    <row r="10" ht="16.5" customHeight="1">
      <c r="A10" s="78"/>
      <c r="B10" s="78"/>
      <c r="C10" s="85" t="s">
        <v>68</v>
      </c>
      <c r="D10" s="89">
        <f t="shared" ref="D10:BB10" si="4">D9*D4</f>
        <v>0</v>
      </c>
      <c r="E10" s="89">
        <f t="shared" si="4"/>
        <v>0</v>
      </c>
      <c r="F10" s="89">
        <f t="shared" si="4"/>
        <v>0</v>
      </c>
      <c r="G10" s="89">
        <f t="shared" si="4"/>
        <v>0</v>
      </c>
      <c r="H10" s="89">
        <f t="shared" si="4"/>
        <v>0</v>
      </c>
      <c r="I10" s="89">
        <f t="shared" si="4"/>
        <v>0</v>
      </c>
      <c r="J10" s="89">
        <f t="shared" si="4"/>
        <v>0</v>
      </c>
      <c r="K10" s="89">
        <f t="shared" si="4"/>
        <v>0</v>
      </c>
      <c r="L10" s="89">
        <f t="shared" si="4"/>
        <v>0</v>
      </c>
      <c r="M10" s="89">
        <f t="shared" si="4"/>
        <v>0</v>
      </c>
      <c r="N10" s="89">
        <f t="shared" si="4"/>
        <v>0</v>
      </c>
      <c r="O10" s="89">
        <f t="shared" si="4"/>
        <v>0</v>
      </c>
      <c r="P10" s="89">
        <f t="shared" si="4"/>
        <v>0</v>
      </c>
      <c r="Q10" s="89">
        <f t="shared" si="4"/>
        <v>0</v>
      </c>
      <c r="R10" s="89">
        <f t="shared" si="4"/>
        <v>0</v>
      </c>
      <c r="S10" s="89">
        <f t="shared" si="4"/>
        <v>0</v>
      </c>
      <c r="T10" s="89">
        <f t="shared" si="4"/>
        <v>0</v>
      </c>
      <c r="U10" s="89">
        <f t="shared" si="4"/>
        <v>0</v>
      </c>
      <c r="V10" s="89">
        <f t="shared" si="4"/>
        <v>0</v>
      </c>
      <c r="W10" s="89">
        <f t="shared" si="4"/>
        <v>0</v>
      </c>
      <c r="X10" s="89">
        <f t="shared" si="4"/>
        <v>0</v>
      </c>
      <c r="Y10" s="89">
        <f t="shared" si="4"/>
        <v>0</v>
      </c>
      <c r="Z10" s="89">
        <f t="shared" si="4"/>
        <v>0</v>
      </c>
      <c r="AA10" s="89">
        <f t="shared" si="4"/>
        <v>0</v>
      </c>
      <c r="AB10" s="89">
        <f t="shared" si="4"/>
        <v>0</v>
      </c>
      <c r="AC10" s="89">
        <f t="shared" si="4"/>
        <v>0</v>
      </c>
      <c r="AD10" s="89">
        <f t="shared" si="4"/>
        <v>0</v>
      </c>
      <c r="AE10" s="89">
        <f t="shared" si="4"/>
        <v>0</v>
      </c>
      <c r="AF10" s="89">
        <f t="shared" si="4"/>
        <v>0</v>
      </c>
      <c r="AG10" s="89">
        <f t="shared" si="4"/>
        <v>0</v>
      </c>
      <c r="AH10" s="89">
        <f t="shared" si="4"/>
        <v>0</v>
      </c>
      <c r="AI10" s="89">
        <f t="shared" si="4"/>
        <v>0</v>
      </c>
      <c r="AJ10" s="89">
        <f t="shared" si="4"/>
        <v>0</v>
      </c>
      <c r="AK10" s="89">
        <f t="shared" si="4"/>
        <v>0</v>
      </c>
      <c r="AL10" s="89">
        <f t="shared" si="4"/>
        <v>0</v>
      </c>
      <c r="AM10" s="89">
        <f t="shared" si="4"/>
        <v>0</v>
      </c>
      <c r="AN10" s="89">
        <f t="shared" si="4"/>
        <v>0</v>
      </c>
      <c r="AO10" s="89">
        <f t="shared" si="4"/>
        <v>0</v>
      </c>
      <c r="AP10" s="89">
        <f t="shared" si="4"/>
        <v>0</v>
      </c>
      <c r="AQ10" s="89">
        <f t="shared" si="4"/>
        <v>0</v>
      </c>
      <c r="AR10" s="89">
        <f t="shared" si="4"/>
        <v>0</v>
      </c>
      <c r="AS10" s="89">
        <f t="shared" si="4"/>
        <v>0</v>
      </c>
      <c r="AT10" s="89">
        <f t="shared" si="4"/>
        <v>0</v>
      </c>
      <c r="AU10" s="89">
        <f t="shared" si="4"/>
        <v>0</v>
      </c>
      <c r="AV10" s="89">
        <f t="shared" si="4"/>
        <v>0</v>
      </c>
      <c r="AW10" s="89">
        <f t="shared" si="4"/>
        <v>0</v>
      </c>
      <c r="AX10" s="89">
        <f t="shared" si="4"/>
        <v>0</v>
      </c>
      <c r="AY10" s="89">
        <f t="shared" si="4"/>
        <v>0</v>
      </c>
      <c r="AZ10" s="89">
        <f t="shared" si="4"/>
        <v>0</v>
      </c>
      <c r="BA10" s="89">
        <f t="shared" si="4"/>
        <v>0</v>
      </c>
      <c r="BB10" s="89">
        <f t="shared" si="4"/>
        <v>0</v>
      </c>
      <c r="BC10" s="78"/>
      <c r="BD10" s="90"/>
    </row>
    <row r="11" ht="16.5" customHeight="1">
      <c r="A11" s="78"/>
      <c r="B11" s="91">
        <f t="shared" ref="B11:B12" si="6">SUM(D11:BB11)</f>
        <v>-286.75</v>
      </c>
      <c r="C11" s="92" t="s">
        <v>58</v>
      </c>
      <c r="D11" s="89">
        <f t="shared" ref="D11:BB11" si="5">D10+D6</f>
        <v>-590.2</v>
      </c>
      <c r="E11" s="89">
        <f t="shared" si="5"/>
        <v>0</v>
      </c>
      <c r="F11" s="89">
        <f t="shared" si="5"/>
        <v>0</v>
      </c>
      <c r="G11" s="89">
        <f t="shared" si="5"/>
        <v>0</v>
      </c>
      <c r="H11" s="89">
        <f t="shared" si="5"/>
        <v>0</v>
      </c>
      <c r="I11" s="89">
        <f t="shared" si="5"/>
        <v>0</v>
      </c>
      <c r="J11" s="89">
        <f t="shared" si="5"/>
        <v>0</v>
      </c>
      <c r="K11" s="89">
        <f t="shared" si="5"/>
        <v>0</v>
      </c>
      <c r="L11" s="89">
        <f t="shared" si="5"/>
        <v>0</v>
      </c>
      <c r="M11" s="89">
        <f t="shared" si="5"/>
        <v>0</v>
      </c>
      <c r="N11" s="89">
        <f t="shared" si="5"/>
        <v>0</v>
      </c>
      <c r="O11" s="89">
        <f t="shared" si="5"/>
        <v>0</v>
      </c>
      <c r="P11" s="89">
        <f t="shared" si="5"/>
        <v>0</v>
      </c>
      <c r="Q11" s="89">
        <f t="shared" si="5"/>
        <v>0</v>
      </c>
      <c r="R11" s="89">
        <f t="shared" si="5"/>
        <v>0</v>
      </c>
      <c r="S11" s="89">
        <f t="shared" si="5"/>
        <v>0</v>
      </c>
      <c r="T11" s="89">
        <f t="shared" si="5"/>
        <v>0</v>
      </c>
      <c r="U11" s="89">
        <f t="shared" si="5"/>
        <v>0</v>
      </c>
      <c r="V11" s="89">
        <f t="shared" si="5"/>
        <v>0</v>
      </c>
      <c r="W11" s="89">
        <f t="shared" si="5"/>
        <v>0</v>
      </c>
      <c r="X11" s="89">
        <f t="shared" si="5"/>
        <v>0</v>
      </c>
      <c r="Y11" s="89">
        <f t="shared" si="5"/>
        <v>0</v>
      </c>
      <c r="Z11" s="89">
        <f t="shared" si="5"/>
        <v>0</v>
      </c>
      <c r="AA11" s="89">
        <f t="shared" si="5"/>
        <v>0</v>
      </c>
      <c r="AB11" s="89">
        <f t="shared" si="5"/>
        <v>0</v>
      </c>
      <c r="AC11" s="89">
        <f t="shared" si="5"/>
        <v>0</v>
      </c>
      <c r="AD11" s="89">
        <f t="shared" si="5"/>
        <v>0</v>
      </c>
      <c r="AE11" s="89">
        <f t="shared" si="5"/>
        <v>0</v>
      </c>
      <c r="AF11" s="89">
        <f t="shared" si="5"/>
        <v>0</v>
      </c>
      <c r="AG11" s="89">
        <f t="shared" si="5"/>
        <v>0</v>
      </c>
      <c r="AH11" s="89">
        <f t="shared" si="5"/>
        <v>0</v>
      </c>
      <c r="AI11" s="89">
        <f t="shared" si="5"/>
        <v>0</v>
      </c>
      <c r="AJ11" s="89">
        <f t="shared" si="5"/>
        <v>0</v>
      </c>
      <c r="AK11" s="89">
        <f t="shared" si="5"/>
        <v>0</v>
      </c>
      <c r="AL11" s="89">
        <f t="shared" si="5"/>
        <v>0</v>
      </c>
      <c r="AM11" s="89">
        <f t="shared" si="5"/>
        <v>0</v>
      </c>
      <c r="AN11" s="89">
        <f t="shared" si="5"/>
        <v>0</v>
      </c>
      <c r="AO11" s="89">
        <f t="shared" si="5"/>
        <v>0</v>
      </c>
      <c r="AP11" s="89">
        <f t="shared" si="5"/>
        <v>0</v>
      </c>
      <c r="AQ11" s="89">
        <f t="shared" si="5"/>
        <v>0</v>
      </c>
      <c r="AR11" s="89">
        <f t="shared" si="5"/>
        <v>0</v>
      </c>
      <c r="AS11" s="89">
        <f t="shared" si="5"/>
        <v>0</v>
      </c>
      <c r="AT11" s="89">
        <f t="shared" si="5"/>
        <v>0</v>
      </c>
      <c r="AU11" s="89">
        <f t="shared" si="5"/>
        <v>0</v>
      </c>
      <c r="AV11" s="89">
        <f t="shared" si="5"/>
        <v>0</v>
      </c>
      <c r="AW11" s="89">
        <f t="shared" si="5"/>
        <v>0</v>
      </c>
      <c r="AX11" s="89">
        <f t="shared" si="5"/>
        <v>0</v>
      </c>
      <c r="AY11" s="89">
        <f t="shared" si="5"/>
        <v>0</v>
      </c>
      <c r="AZ11" s="89">
        <f t="shared" si="5"/>
        <v>0</v>
      </c>
      <c r="BA11" s="89">
        <f t="shared" si="5"/>
        <v>0</v>
      </c>
      <c r="BB11" s="89">
        <f t="shared" si="5"/>
        <v>303.45</v>
      </c>
      <c r="BC11" s="78"/>
      <c r="BD11" s="90"/>
    </row>
    <row r="12" ht="16.5" customHeight="1">
      <c r="A12" s="78"/>
      <c r="B12" s="88">
        <f t="shared" si="6"/>
        <v>0</v>
      </c>
      <c r="C12" s="85" t="s">
        <v>71</v>
      </c>
      <c r="D12" s="87"/>
      <c r="E12" s="78">
        <f>E7*('Interface +A2'!$H$19)*E8*E4</f>
        <v>0</v>
      </c>
      <c r="F12" s="78">
        <f>F7*('Interface +A2'!$H$19)*F8*F4</f>
        <v>0</v>
      </c>
      <c r="G12" s="78">
        <f>G7*('Interface +A2'!$H$19)*G8*G4</f>
        <v>0</v>
      </c>
      <c r="H12" s="78">
        <f>H7*('Interface +A2'!$H$19)*H8*H4</f>
        <v>0</v>
      </c>
      <c r="I12" s="78">
        <f>I7*('Interface +A2'!$H$19)*I8*I4</f>
        <v>0</v>
      </c>
      <c r="J12" s="78">
        <f>J7*('Interface +A2'!$H$19)*J8*J4</f>
        <v>0</v>
      </c>
      <c r="K12" s="78">
        <f>K7*('Interface +A2'!$H$19)*K8*K4</f>
        <v>0</v>
      </c>
      <c r="L12" s="78">
        <f>L7*('Interface +A2'!$H$19)*L8*L4</f>
        <v>0</v>
      </c>
      <c r="M12" s="78">
        <f>M7*('Interface +A2'!$H$19)*M8*M4</f>
        <v>0</v>
      </c>
      <c r="N12" s="78">
        <f>N7*('Interface +A2'!$H$19)*N8*N4</f>
        <v>0</v>
      </c>
      <c r="O12" s="78">
        <f>O7*('Interface +A2'!$H$19)*O8*O4</f>
        <v>0</v>
      </c>
      <c r="P12" s="78">
        <f>P7*('Interface +A2'!$H$19)*P8*P4</f>
        <v>0</v>
      </c>
      <c r="Q12" s="78">
        <f>Q7*('Interface +A2'!$H$19)*Q8*Q4</f>
        <v>0</v>
      </c>
      <c r="R12" s="78">
        <f>R7*('Interface +A2'!$H$19)*R8*R4</f>
        <v>0</v>
      </c>
      <c r="S12" s="78">
        <f>S7*('Interface +A2'!$H$19)*S8*S4</f>
        <v>0</v>
      </c>
      <c r="T12" s="78">
        <f>T7*('Interface +A2'!$H$19)*T8*T4</f>
        <v>0</v>
      </c>
      <c r="U12" s="78">
        <f>U7*('Interface +A2'!$H$19)*U8*U4</f>
        <v>0</v>
      </c>
      <c r="V12" s="78">
        <f>V7*('Interface +A2'!$H$19)*V8*V4</f>
        <v>0</v>
      </c>
      <c r="W12" s="78">
        <f>W7*('Interface +A2'!$H$19)*W8*W4</f>
        <v>0</v>
      </c>
      <c r="X12" s="78">
        <f>X7*('Interface +A2'!$H$19)*X8*X4</f>
        <v>0</v>
      </c>
      <c r="Y12" s="78">
        <f>Y7*('Interface +A2'!$H$19)*Y8*Y4</f>
        <v>0</v>
      </c>
      <c r="Z12" s="78">
        <f>Z7*('Interface +A2'!$H$19)*Z8*Z4</f>
        <v>0</v>
      </c>
      <c r="AA12" s="78">
        <f>AA7*('Interface +A2'!$H$19)*AA8*AA4</f>
        <v>0</v>
      </c>
      <c r="AB12" s="78">
        <f>AB7*('Interface +A2'!$H$19)*AB8*AB4</f>
        <v>0</v>
      </c>
      <c r="AC12" s="78">
        <f>AC7*('Interface +A2'!$H$19)*AC8*AC4</f>
        <v>0</v>
      </c>
      <c r="AD12" s="78">
        <f>AD7*('Interface +A2'!$H$19)*AD8*AD4</f>
        <v>0</v>
      </c>
      <c r="AE12" s="78">
        <f>AE7*('Interface +A2'!$H$19)*AE8*AE4</f>
        <v>0</v>
      </c>
      <c r="AF12" s="78">
        <f>AF7*('Interface +A2'!$H$19)*AF8*AF4</f>
        <v>0</v>
      </c>
      <c r="AG12" s="78">
        <f>AG7*('Interface +A2'!$H$19)*AG8*AG4</f>
        <v>0</v>
      </c>
      <c r="AH12" s="78">
        <f>AH7*('Interface +A2'!$H$19)*AH8*AH4</f>
        <v>0</v>
      </c>
      <c r="AI12" s="78">
        <f>AI7*('Interface +A2'!$H$19)*AI8*AI4</f>
        <v>0</v>
      </c>
      <c r="AJ12" s="78">
        <f>AJ7*('Interface +A2'!$H$19)*AJ8*AJ4</f>
        <v>0</v>
      </c>
      <c r="AK12" s="78">
        <f>AK7*('Interface +A2'!$H$19)*AK8*AK4</f>
        <v>0</v>
      </c>
      <c r="AL12" s="78">
        <f>AL7*('Interface +A2'!$H$19)*AL8*AL4</f>
        <v>0</v>
      </c>
      <c r="AM12" s="78">
        <f>AM7*('Interface +A2'!$H$19)*AM8*AM4</f>
        <v>0</v>
      </c>
      <c r="AN12" s="78">
        <f>AN7*('Interface +A2'!$H$19)*AN8*AN4</f>
        <v>0</v>
      </c>
      <c r="AO12" s="78">
        <f>AO7*('Interface +A2'!$H$19)*AO8*AO4</f>
        <v>0</v>
      </c>
      <c r="AP12" s="78">
        <f>AP7*('Interface +A2'!$H$19)*AP8*AP4</f>
        <v>0</v>
      </c>
      <c r="AQ12" s="78">
        <f>AQ7*('Interface +A2'!$H$19)*AQ8*AQ4</f>
        <v>0</v>
      </c>
      <c r="AR12" s="78">
        <f>AR7*('Interface +A2'!$H$19)*AR8*AR4</f>
        <v>0</v>
      </c>
      <c r="AS12" s="78">
        <f>AS7*('Interface +A2'!$H$19)*AS8*AS4</f>
        <v>0</v>
      </c>
      <c r="AT12" s="78">
        <f>AT7*('Interface +A2'!$H$19)*AT8*AT4</f>
        <v>0</v>
      </c>
      <c r="AU12" s="78">
        <f>AU7*('Interface +A2'!$H$19)*AU8*AU4</f>
        <v>0</v>
      </c>
      <c r="AV12" s="78">
        <f>AV7*('Interface +A2'!$H$19)*AV8*AV4</f>
        <v>0</v>
      </c>
      <c r="AW12" s="78">
        <f>AW7*('Interface +A2'!$H$19)*AW8*AW4</f>
        <v>0</v>
      </c>
      <c r="AX12" s="78">
        <f>AX7*('Interface +A2'!$H$19)*AX8*AX4</f>
        <v>0</v>
      </c>
      <c r="AY12" s="78">
        <f>AY7*('Interface +A2'!$H$19)*AY8*AY4</f>
        <v>0</v>
      </c>
      <c r="AZ12" s="78">
        <f>AZ7*('Interface +A2'!$H$19)*AZ8*AZ4</f>
        <v>0</v>
      </c>
      <c r="BA12" s="78">
        <f>BA7*('Interface +A2'!$H$19)*BA8*BA4</f>
        <v>0</v>
      </c>
      <c r="BB12" s="78">
        <f>BB7*('Interface +A2'!$H$19)*BB8*BB4</f>
        <v>0</v>
      </c>
      <c r="BC12" s="78"/>
      <c r="BD12" s="90"/>
    </row>
    <row r="13" ht="16.5" customHeight="1">
      <c r="A13" s="78"/>
      <c r="B13" s="91">
        <f>SUM(B11:B12)</f>
        <v>-286.75</v>
      </c>
      <c r="C13" s="92" t="s">
        <v>72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90"/>
    </row>
    <row r="14" ht="16.5" customHeight="1">
      <c r="A14" s="78"/>
      <c r="B14" s="78"/>
      <c r="C14" s="84" t="s">
        <v>73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84" t="s">
        <v>74</v>
      </c>
      <c r="P14" s="93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90"/>
    </row>
    <row r="15" ht="16.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90"/>
    </row>
    <row r="16" ht="16.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90"/>
    </row>
    <row r="17" ht="16.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</row>
    <row r="18" ht="16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</row>
    <row r="19" ht="16.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</row>
    <row r="20" ht="16.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</row>
    <row r="21" ht="16.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</row>
    <row r="22" ht="16.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</row>
    <row r="23" ht="16.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</row>
    <row r="24" ht="16.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</row>
    <row r="25" ht="16.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</row>
    <row r="26" ht="16.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</row>
    <row r="27" ht="16.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</row>
    <row r="28" ht="16.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</row>
    <row r="29" ht="16.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</row>
    <row r="30" ht="16.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</row>
    <row r="31" ht="16.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</row>
    <row r="32" ht="16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</row>
    <row r="33" ht="16.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</row>
    <row r="34" ht="16.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</row>
    <row r="35" ht="16.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</row>
    <row r="36" ht="16.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85"/>
      <c r="M36" s="78"/>
      <c r="N36" s="78"/>
      <c r="O36" s="78"/>
      <c r="P36" s="78"/>
      <c r="Q36" s="85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</row>
    <row r="37" ht="16.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</row>
    <row r="38" ht="16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</row>
    <row r="39" ht="16.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</row>
    <row r="40" ht="16.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</row>
    <row r="41" ht="16.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94"/>
      <c r="M41" s="78"/>
      <c r="N41" s="78"/>
      <c r="O41" s="78"/>
      <c r="P41" s="78"/>
      <c r="Q41" s="78"/>
      <c r="R41" s="78"/>
      <c r="S41" s="78"/>
      <c r="T41" s="78"/>
      <c r="U41" s="78"/>
      <c r="V41" s="86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</row>
    <row r="42" ht="16.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94"/>
      <c r="M42" s="78"/>
      <c r="N42" s="78"/>
      <c r="O42" s="78"/>
      <c r="P42" s="78"/>
      <c r="Q42" s="78"/>
      <c r="R42" s="78"/>
      <c r="S42" s="78"/>
      <c r="T42" s="78"/>
      <c r="U42" s="78"/>
      <c r="V42" s="86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</row>
    <row r="43" ht="16.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94"/>
      <c r="M43" s="78"/>
      <c r="N43" s="78"/>
      <c r="O43" s="78"/>
      <c r="P43" s="78"/>
      <c r="Q43" s="78"/>
      <c r="R43" s="78"/>
      <c r="S43" s="78"/>
      <c r="T43" s="86"/>
      <c r="U43" s="78"/>
      <c r="V43" s="86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</row>
    <row r="44" ht="16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94"/>
      <c r="M44" s="78"/>
      <c r="N44" s="78"/>
      <c r="O44" s="78"/>
      <c r="P44" s="78"/>
      <c r="Q44" s="78"/>
      <c r="R44" s="78"/>
      <c r="S44" s="78"/>
      <c r="T44" s="78"/>
      <c r="U44" s="78"/>
      <c r="V44" s="86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</row>
    <row r="45" ht="16.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94"/>
      <c r="M45" s="78"/>
      <c r="N45" s="78"/>
      <c r="O45" s="78"/>
      <c r="P45" s="78"/>
      <c r="Q45" s="78"/>
      <c r="R45" s="78"/>
      <c r="S45" s="78"/>
      <c r="T45" s="78"/>
      <c r="U45" s="78"/>
      <c r="V45" s="86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</row>
    <row r="46" ht="16.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94"/>
      <c r="M46" s="78"/>
      <c r="N46" s="78"/>
      <c r="O46" s="78"/>
      <c r="P46" s="78"/>
      <c r="Q46" s="78"/>
      <c r="R46" s="78"/>
      <c r="S46" s="78"/>
      <c r="T46" s="86"/>
      <c r="U46" s="78"/>
      <c r="V46" s="86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</row>
    <row r="47" ht="16.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86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</row>
    <row r="48" ht="16.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</row>
    <row r="49" ht="16.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</row>
    <row r="50" ht="16.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</row>
    <row r="51" ht="16.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</row>
    <row r="52" ht="16.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</row>
    <row r="53" ht="16.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</row>
    <row r="54" ht="16.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</row>
    <row r="55" ht="16.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</row>
    <row r="56" ht="16.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</row>
    <row r="57" ht="16.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</row>
    <row r="58" ht="16.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</row>
    <row r="59" ht="16.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</row>
    <row r="60" ht="16.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</row>
    <row r="61" ht="16.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</row>
    <row r="62" ht="16.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</row>
    <row r="63" ht="16.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</row>
    <row r="64" ht="16.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</row>
    <row r="65" ht="16.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</row>
    <row r="66" ht="16.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</row>
    <row r="67" ht="16.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</row>
    <row r="68" ht="16.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</row>
    <row r="69" ht="16.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</row>
    <row r="70" ht="16.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</row>
    <row r="71" ht="16.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</row>
    <row r="72" ht="16.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</row>
    <row r="73" ht="16.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</row>
    <row r="74" ht="16.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</row>
    <row r="75" ht="16.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</row>
    <row r="76" ht="16.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</row>
    <row r="77" ht="16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</row>
    <row r="78" ht="16.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</row>
    <row r="79" ht="16.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</row>
    <row r="80" ht="16.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</row>
    <row r="81" ht="16.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</row>
    <row r="82" ht="16.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</row>
    <row r="83" ht="16.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</row>
    <row r="84" ht="16.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</row>
    <row r="85" ht="16.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</row>
    <row r="86" ht="16.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</row>
    <row r="87" ht="16.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</row>
    <row r="88" ht="16.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</row>
    <row r="89" ht="16.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</row>
    <row r="90" ht="16.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</row>
    <row r="91" ht="16.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</row>
    <row r="92" ht="16.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</row>
    <row r="93" ht="16.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</row>
    <row r="94" ht="16.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</row>
    <row r="95" ht="16.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</row>
    <row r="96" ht="16.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</row>
    <row r="97" ht="16.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</row>
    <row r="98" ht="16.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</row>
    <row r="99" ht="16.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</row>
    <row r="100" ht="16.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</row>
    <row r="101" ht="16.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</row>
    <row r="102" ht="16.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</row>
    <row r="103" ht="16.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</row>
    <row r="104" ht="16.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</row>
    <row r="105" ht="16.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</row>
    <row r="106" ht="16.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</row>
    <row r="107" ht="16.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</row>
    <row r="108" ht="16.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</row>
    <row r="109" ht="16.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</row>
    <row r="110" ht="16.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</row>
    <row r="111" ht="16.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</row>
    <row r="112" ht="16.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</row>
    <row r="113" ht="16.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</row>
    <row r="114" ht="16.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</row>
    <row r="115" ht="16.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</row>
    <row r="116" ht="16.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</row>
    <row r="117" ht="16.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</row>
    <row r="118" ht="16.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</row>
    <row r="119" ht="16.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</row>
    <row r="120" ht="16.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</row>
    <row r="121" ht="16.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</row>
    <row r="122" ht="16.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</row>
    <row r="123" ht="16.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</row>
    <row r="124" ht="16.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</row>
    <row r="125" ht="16.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</row>
    <row r="126" ht="16.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</row>
    <row r="127" ht="16.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</row>
    <row r="128" ht="16.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</row>
    <row r="129" ht="16.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</row>
    <row r="130" ht="16.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</row>
    <row r="131" ht="16.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</row>
    <row r="132" ht="16.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</row>
    <row r="133" ht="16.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</row>
    <row r="134" ht="16.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</row>
    <row r="135" ht="16.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</row>
    <row r="136" ht="16.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</row>
    <row r="137" ht="16.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</row>
    <row r="138" ht="16.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</row>
    <row r="139" ht="16.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</row>
    <row r="140" ht="16.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</row>
    <row r="141" ht="16.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</row>
    <row r="142" ht="16.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</row>
    <row r="143" ht="16.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</row>
    <row r="144" ht="16.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</row>
    <row r="145" ht="16.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</row>
    <row r="146" ht="16.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</row>
    <row r="147" ht="16.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</row>
    <row r="148" ht="16.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</row>
    <row r="149" ht="16.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</row>
    <row r="150" ht="16.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</row>
    <row r="151" ht="16.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</row>
    <row r="152" ht="16.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</row>
    <row r="153" ht="16.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</row>
    <row r="154" ht="16.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</row>
    <row r="155" ht="16.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</row>
    <row r="156" ht="16.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</row>
    <row r="157" ht="16.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</row>
    <row r="158" ht="16.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</row>
    <row r="159" ht="16.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</row>
    <row r="160" ht="16.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</row>
    <row r="161" ht="16.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</row>
    <row r="162" ht="16.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</row>
    <row r="163" ht="16.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</row>
    <row r="164" ht="16.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</row>
    <row r="165" ht="16.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</row>
    <row r="166" ht="16.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</row>
    <row r="167" ht="16.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</row>
    <row r="168" ht="16.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</row>
    <row r="169" ht="16.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</row>
    <row r="170" ht="16.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</row>
    <row r="171" ht="16.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</row>
    <row r="172" ht="16.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</row>
    <row r="173" ht="16.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</row>
    <row r="174" ht="16.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</row>
    <row r="175" ht="16.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</row>
    <row r="176" ht="16.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</row>
    <row r="177" ht="16.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</row>
    <row r="178" ht="16.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</row>
    <row r="179" ht="16.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</row>
    <row r="180" ht="16.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</row>
    <row r="181" ht="16.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</row>
    <row r="182" ht="16.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</row>
    <row r="183" ht="16.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</row>
    <row r="184" ht="16.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</row>
    <row r="185" ht="16.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</row>
    <row r="186" ht="16.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</row>
    <row r="187" ht="16.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</row>
    <row r="188" ht="16.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</row>
    <row r="189" ht="16.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</row>
    <row r="190" ht="16.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</row>
    <row r="191" ht="16.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</row>
    <row r="192" ht="16.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</row>
    <row r="193" ht="16.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</row>
    <row r="194" ht="16.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</row>
    <row r="195" ht="16.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</row>
    <row r="196" ht="16.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</row>
    <row r="197" ht="16.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</row>
    <row r="198" ht="16.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</row>
    <row r="199" ht="16.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</row>
    <row r="200" ht="16.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</row>
    <row r="201" ht="16.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</row>
    <row r="202" ht="16.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</row>
    <row r="203" ht="16.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</row>
    <row r="204" ht="16.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</row>
    <row r="205" ht="16.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</row>
    <row r="206" ht="16.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</row>
    <row r="207" ht="16.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</row>
    <row r="208" ht="16.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</row>
    <row r="209" ht="16.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</row>
    <row r="210" ht="16.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</row>
    <row r="211" ht="16.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</row>
    <row r="212" ht="16.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</row>
    <row r="213" ht="16.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</row>
    <row r="214" ht="16.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</row>
    <row r="215" ht="16.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</row>
    <row r="216" ht="16.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</row>
    <row r="217" ht="16.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</row>
    <row r="218" ht="16.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</row>
    <row r="219" ht="16.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</row>
    <row r="220" ht="16.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7:BB7">
    <cfRule type="cellIs" dxfId="0" priority="1" operator="equal">
      <formula>1</formula>
    </cfRule>
  </conditionalFormatting>
  <conditionalFormatting sqref="E8:BB8">
    <cfRule type="cellIs" dxfId="0" priority="2" operator="less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2018-07-25T14:27:44Z</dcterms:created>
  <dc:creator>MEUNIER Guillaume</dc:creator>
</cp:coreProperties>
</file>